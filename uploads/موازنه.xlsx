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ohamed-elsherbeeny\Desktop\"/>
    </mc:Choice>
  </mc:AlternateContent>
  <xr:revisionPtr revIDLastSave="0" documentId="13_ncr:1_{E97C48FB-5DB4-4638-BE28-1D70482ED434}" xr6:coauthVersionLast="47" xr6:coauthVersionMax="47" xr10:uidLastSave="{00000000-0000-0000-0000-000000000000}"/>
  <bookViews>
    <workbookView xWindow="-110" yWindow="-110" windowWidth="19420" windowHeight="10420" firstSheet="58" activeTab="62" xr2:uid="{00000000-000D-0000-FFFF-FFFF00000000}"/>
  </bookViews>
  <sheets>
    <sheet name="شهر 8" sheetId="5" r:id="rId1"/>
    <sheet name="ميزانية شهر 9" sheetId="1" r:id="rId2"/>
    <sheet name="ميزانية شهر 10" sheetId="2" r:id="rId3"/>
    <sheet name="شهر 11" sheetId="3" r:id="rId4"/>
    <sheet name="شهر 12" sheetId="4" r:id="rId5"/>
    <sheet name="شهر 1-2021" sheetId="7" r:id="rId6"/>
    <sheet name="شهر 2-2021" sheetId="8" r:id="rId7"/>
    <sheet name="شهر 3-21" sheetId="10" r:id="rId8"/>
    <sheet name="شهر 4-21" sheetId="9" r:id="rId9"/>
    <sheet name="شهر 5-2021" sheetId="11" r:id="rId10"/>
    <sheet name="شهر 6-2021" sheetId="12" r:id="rId11"/>
    <sheet name="شهر 7-2021" sheetId="13" r:id="rId12"/>
    <sheet name="شهر 8-2021" sheetId="14" r:id="rId13"/>
    <sheet name="شهر 9-2021" sheetId="15" r:id="rId14"/>
    <sheet name="شهر 10-2021" sheetId="16" r:id="rId15"/>
    <sheet name="شهر 11-2021" sheetId="17" r:id="rId16"/>
    <sheet name="شهر 12-2021" sheetId="18" r:id="rId17"/>
    <sheet name="شهر 1-2022" sheetId="19" r:id="rId18"/>
    <sheet name="شهر 2-2022" sheetId="20" r:id="rId19"/>
    <sheet name="شهر 3-2022" sheetId="21" r:id="rId20"/>
    <sheet name="شهر 4-2022" sheetId="22" r:id="rId21"/>
    <sheet name="شهر 5-2022" sheetId="23" r:id="rId22"/>
    <sheet name="شهر 6-2022" sheetId="24" r:id="rId23"/>
    <sheet name="شهر 7-2022" sheetId="25" r:id="rId24"/>
    <sheet name="الايرادات" sheetId="6" r:id="rId25"/>
    <sheet name="شهر 8-2022" sheetId="26" r:id="rId26"/>
    <sheet name="شهر 9-2022" sheetId="27" r:id="rId27"/>
    <sheet name="شهر 10-2022" sheetId="28" r:id="rId28"/>
    <sheet name="شهر 11-2022" sheetId="29" r:id="rId29"/>
    <sheet name="شهر 12-2022" sheetId="30" r:id="rId30"/>
    <sheet name="شهر 1-2023" sheetId="31" r:id="rId31"/>
    <sheet name="شهر 2-2023" sheetId="32" r:id="rId32"/>
    <sheet name="شهر 3-2023" sheetId="33" r:id="rId33"/>
    <sheet name="شهر 4-2023" sheetId="34" r:id="rId34"/>
    <sheet name="شهر 5-2023" sheetId="35" r:id="rId35"/>
    <sheet name="شهر 6-2023" sheetId="36" r:id="rId36"/>
    <sheet name="شهر 7-2023" sheetId="37" r:id="rId37"/>
    <sheet name="شهر 8-2023" sheetId="38" r:id="rId38"/>
    <sheet name="شهر 9-2023" sheetId="39" r:id="rId39"/>
    <sheet name="شهر 10-2023" sheetId="40" r:id="rId40"/>
    <sheet name="شهر 11-2023" sheetId="41" r:id="rId41"/>
    <sheet name="شهر 12 -2023" sheetId="42" r:id="rId42"/>
    <sheet name="شهر 1 - 2024" sheetId="43" r:id="rId43"/>
    <sheet name="شهر 2-2024" sheetId="44" r:id="rId44"/>
    <sheet name="شهر 3-2024" sheetId="45" r:id="rId45"/>
    <sheet name="شهر 4-2024" sheetId="46" r:id="rId46"/>
    <sheet name="شهر 5-2024" sheetId="47" r:id="rId47"/>
    <sheet name="شهر 6 - 2024" sheetId="48" r:id="rId48"/>
    <sheet name="شهر 7 - 2024" sheetId="49" r:id="rId49"/>
    <sheet name="شهر 8 - 2024" sheetId="50" r:id="rId50"/>
    <sheet name="شهر 9 - 2024" sheetId="51" r:id="rId51"/>
    <sheet name="شهر 10 - 2024" sheetId="52" r:id="rId52"/>
    <sheet name="شهر 11- 2024" sheetId="53" r:id="rId53"/>
    <sheet name="شهر 12 - 2024" sheetId="54" r:id="rId54"/>
    <sheet name="شهر 1-2025" sheetId="55" r:id="rId55"/>
    <sheet name="شهر 2 - 2025" sheetId="56" r:id="rId56"/>
    <sheet name="شهر 3 - 2025" sheetId="57" r:id="rId57"/>
    <sheet name="شهر 4 - 2025" sheetId="58" r:id="rId58"/>
    <sheet name="شهر 5- 2025" sheetId="59" r:id="rId59"/>
    <sheet name="شهر 6 -2025" sheetId="60" r:id="rId60"/>
    <sheet name="شهر7 -2025" sheetId="61" r:id="rId61"/>
    <sheet name="شهر 8-2025" sheetId="62" r:id="rId62"/>
    <sheet name="شهر 9 -2025" sheetId="63" r:id="rId6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61" l="1"/>
  <c r="F10" i="5"/>
  <c r="M23" i="63"/>
  <c r="M22" i="63"/>
  <c r="M21" i="63"/>
  <c r="M19" i="63"/>
  <c r="M18" i="63"/>
  <c r="M17" i="63"/>
  <c r="M16" i="63"/>
  <c r="M15" i="63"/>
  <c r="M26" i="63" s="1"/>
  <c r="D10" i="63"/>
  <c r="B10" i="63"/>
  <c r="M23" i="62"/>
  <c r="M22" i="62"/>
  <c r="M21" i="62"/>
  <c r="M19" i="62"/>
  <c r="M18" i="62"/>
  <c r="M17" i="62"/>
  <c r="M16" i="62"/>
  <c r="M15" i="62"/>
  <c r="D10" i="62"/>
  <c r="B10" i="62"/>
  <c r="M23" i="61"/>
  <c r="M22" i="61"/>
  <c r="M21" i="61"/>
  <c r="M19" i="61"/>
  <c r="M18" i="61"/>
  <c r="M17" i="61"/>
  <c r="M16" i="61"/>
  <c r="M15" i="61"/>
  <c r="D10" i="61"/>
  <c r="B10" i="61"/>
  <c r="M26" i="62" l="1"/>
  <c r="C12" i="63"/>
  <c r="C12" i="62"/>
  <c r="M26" i="61"/>
  <c r="C12" i="61"/>
  <c r="M23" i="60"/>
  <c r="M22" i="60"/>
  <c r="M21" i="60"/>
  <c r="M19" i="60"/>
  <c r="M18" i="60"/>
  <c r="M17" i="60"/>
  <c r="M16" i="60"/>
  <c r="M15" i="60"/>
  <c r="D10" i="60"/>
  <c r="B10" i="60"/>
  <c r="M26" i="60" l="1"/>
  <c r="C12" i="60"/>
  <c r="M23" i="59"/>
  <c r="M22" i="59"/>
  <c r="M21" i="59"/>
  <c r="M19" i="59"/>
  <c r="M18" i="59"/>
  <c r="M17" i="59"/>
  <c r="M16" i="59"/>
  <c r="M15" i="59"/>
  <c r="M26" i="59" s="1"/>
  <c r="D10" i="59"/>
  <c r="B10" i="59"/>
  <c r="M23" i="58"/>
  <c r="M22" i="58"/>
  <c r="M21" i="58"/>
  <c r="M19" i="58"/>
  <c r="M18" i="58"/>
  <c r="M17" i="58"/>
  <c r="M16" i="58"/>
  <c r="M15" i="58"/>
  <c r="D10" i="58"/>
  <c r="B10" i="58"/>
  <c r="M26" i="58" l="1"/>
  <c r="C12" i="59"/>
  <c r="C12" i="58"/>
  <c r="M23" i="57"/>
  <c r="M22" i="57"/>
  <c r="M21" i="57"/>
  <c r="M19" i="57"/>
  <c r="M18" i="57"/>
  <c r="M17" i="57"/>
  <c r="M16" i="57"/>
  <c r="M15" i="57"/>
  <c r="M26" i="57" s="1"/>
  <c r="D10" i="57"/>
  <c r="B10" i="57"/>
  <c r="M23" i="55"/>
  <c r="M22" i="55"/>
  <c r="M21" i="55"/>
  <c r="M19" i="55"/>
  <c r="M18" i="55"/>
  <c r="M17" i="55"/>
  <c r="M16" i="55"/>
  <c r="M15" i="55"/>
  <c r="D10" i="55"/>
  <c r="B10" i="55"/>
  <c r="C12" i="55" s="1"/>
  <c r="M23" i="54"/>
  <c r="M22" i="54"/>
  <c r="M21" i="54"/>
  <c r="M19" i="54"/>
  <c r="M18" i="54"/>
  <c r="M17" i="54"/>
  <c r="M16" i="54"/>
  <c r="M15" i="54"/>
  <c r="D10" i="54"/>
  <c r="B10" i="54"/>
  <c r="C12" i="54" s="1"/>
  <c r="M23" i="56"/>
  <c r="M22" i="56"/>
  <c r="M21" i="56"/>
  <c r="M19" i="56"/>
  <c r="M18" i="56"/>
  <c r="M17" i="56"/>
  <c r="M16" i="56"/>
  <c r="M15" i="56"/>
  <c r="D10" i="56"/>
  <c r="B10" i="56"/>
  <c r="M26" i="56" l="1"/>
  <c r="M26" i="54"/>
  <c r="M26" i="55"/>
  <c r="C12" i="57"/>
  <c r="C12" i="56"/>
  <c r="M23" i="53"/>
  <c r="M22" i="53"/>
  <c r="M21" i="53"/>
  <c r="M19" i="53"/>
  <c r="M18" i="53"/>
  <c r="M17" i="53"/>
  <c r="M16" i="53"/>
  <c r="M15" i="53"/>
  <c r="D10" i="53"/>
  <c r="B10" i="53"/>
  <c r="M23" i="52"/>
  <c r="M22" i="52"/>
  <c r="M21" i="52"/>
  <c r="M19" i="52"/>
  <c r="M18" i="52"/>
  <c r="M17" i="52"/>
  <c r="M16" i="52"/>
  <c r="M15" i="52"/>
  <c r="M26" i="52" s="1"/>
  <c r="D10" i="52"/>
  <c r="B10" i="52"/>
  <c r="M26" i="53" l="1"/>
  <c r="C12" i="53"/>
  <c r="C12" i="52"/>
  <c r="M23" i="51"/>
  <c r="M22" i="51"/>
  <c r="M21" i="51"/>
  <c r="M19" i="51"/>
  <c r="M18" i="51"/>
  <c r="M17" i="51"/>
  <c r="M16" i="51"/>
  <c r="M15" i="51"/>
  <c r="M26" i="51" s="1"/>
  <c r="D10" i="51"/>
  <c r="B10" i="51"/>
  <c r="M22" i="50"/>
  <c r="M21" i="50"/>
  <c r="M20" i="50"/>
  <c r="M19" i="50"/>
  <c r="M18" i="50"/>
  <c r="M17" i="50"/>
  <c r="M16" i="50"/>
  <c r="M15" i="50"/>
  <c r="D10" i="50"/>
  <c r="B10" i="50"/>
  <c r="M25" i="50" l="1"/>
  <c r="C12" i="51"/>
  <c r="C12" i="50"/>
  <c r="M22" i="49"/>
  <c r="M21" i="49"/>
  <c r="M20" i="49"/>
  <c r="M19" i="49"/>
  <c r="M18" i="49"/>
  <c r="M17" i="49"/>
  <c r="M16" i="49"/>
  <c r="M15" i="49"/>
  <c r="D10" i="49"/>
  <c r="B10" i="49"/>
  <c r="M22" i="48"/>
  <c r="M21" i="48"/>
  <c r="M20" i="48"/>
  <c r="M19" i="48"/>
  <c r="M18" i="48"/>
  <c r="M17" i="48"/>
  <c r="M16" i="48"/>
  <c r="M15" i="48"/>
  <c r="D10" i="48"/>
  <c r="B10" i="48"/>
  <c r="M25" i="49" l="1"/>
  <c r="M25" i="48"/>
  <c r="C12" i="49"/>
  <c r="C12" i="48"/>
  <c r="M24" i="47"/>
  <c r="M22" i="47"/>
  <c r="M21" i="47"/>
  <c r="M20" i="47"/>
  <c r="M19" i="47"/>
  <c r="M18" i="47"/>
  <c r="M17" i="47"/>
  <c r="M16" i="47"/>
  <c r="M15" i="47"/>
  <c r="D10" i="47"/>
  <c r="B10" i="47"/>
  <c r="M25" i="47" l="1"/>
  <c r="C12" i="47"/>
  <c r="M24" i="46"/>
  <c r="M22" i="46"/>
  <c r="M21" i="46"/>
  <c r="M20" i="46"/>
  <c r="M19" i="46"/>
  <c r="M18" i="46"/>
  <c r="M17" i="46"/>
  <c r="M16" i="46"/>
  <c r="M15" i="46"/>
  <c r="D10" i="46"/>
  <c r="B10" i="46"/>
  <c r="M25" i="46" l="1"/>
  <c r="C12" i="46"/>
  <c r="M24" i="45"/>
  <c r="M22" i="45"/>
  <c r="M21" i="45"/>
  <c r="M20" i="45"/>
  <c r="M19" i="45"/>
  <c r="M18" i="45"/>
  <c r="M17" i="45"/>
  <c r="M16" i="45"/>
  <c r="M15" i="45"/>
  <c r="M25" i="45" s="1"/>
  <c r="D10" i="45"/>
  <c r="B10" i="45"/>
  <c r="M24" i="44"/>
  <c r="M22" i="44"/>
  <c r="M21" i="44"/>
  <c r="M20" i="44"/>
  <c r="M19" i="44"/>
  <c r="M18" i="44"/>
  <c r="M17" i="44"/>
  <c r="M16" i="44"/>
  <c r="M15" i="44"/>
  <c r="D10" i="44"/>
  <c r="B10" i="44"/>
  <c r="M25" i="44" l="1"/>
  <c r="C12" i="45"/>
  <c r="C15" i="45" s="1"/>
  <c r="C12" i="44"/>
  <c r="C15" i="44" s="1"/>
  <c r="M24" i="43"/>
  <c r="M22" i="43"/>
  <c r="M21" i="43"/>
  <c r="M20" i="43"/>
  <c r="M19" i="43"/>
  <c r="M18" i="43"/>
  <c r="M17" i="43"/>
  <c r="M16" i="43"/>
  <c r="M15" i="43"/>
  <c r="D10" i="43"/>
  <c r="B10" i="43"/>
  <c r="M24" i="42"/>
  <c r="M22" i="42"/>
  <c r="M21" i="42"/>
  <c r="M20" i="42"/>
  <c r="M19" i="42"/>
  <c r="M18" i="42"/>
  <c r="M17" i="42"/>
  <c r="M16" i="42"/>
  <c r="M15" i="42"/>
  <c r="D10" i="42"/>
  <c r="B10" i="42"/>
  <c r="C12" i="42" s="1"/>
  <c r="M25" i="42" l="1"/>
  <c r="M25" i="43"/>
  <c r="C12" i="43"/>
  <c r="M24" i="41"/>
  <c r="M22" i="41"/>
  <c r="M21" i="41"/>
  <c r="M20" i="41"/>
  <c r="M19" i="41"/>
  <c r="M18" i="41"/>
  <c r="M17" i="41"/>
  <c r="M16" i="41"/>
  <c r="M15" i="41"/>
  <c r="D10" i="41"/>
  <c r="B10" i="41"/>
  <c r="M24" i="40"/>
  <c r="M22" i="40"/>
  <c r="M21" i="40"/>
  <c r="M20" i="40"/>
  <c r="M19" i="40"/>
  <c r="M18" i="40"/>
  <c r="M17" i="40"/>
  <c r="M16" i="40"/>
  <c r="M15" i="40"/>
  <c r="D10" i="40"/>
  <c r="B10" i="40"/>
  <c r="M25" i="41" l="1"/>
  <c r="M25" i="40"/>
  <c r="C12" i="41"/>
  <c r="C12" i="40"/>
  <c r="C13" i="40" s="1"/>
  <c r="M24" i="39"/>
  <c r="M22" i="39"/>
  <c r="M21" i="39"/>
  <c r="M20" i="39"/>
  <c r="M19" i="39"/>
  <c r="M18" i="39"/>
  <c r="M17" i="39"/>
  <c r="M16" i="39"/>
  <c r="M15" i="39"/>
  <c r="D10" i="39"/>
  <c r="B10" i="39"/>
  <c r="M25" i="39" l="1"/>
  <c r="C12" i="39"/>
  <c r="C13" i="39" s="1"/>
  <c r="M24" i="38"/>
  <c r="M22" i="38"/>
  <c r="M21" i="38"/>
  <c r="M20" i="38"/>
  <c r="M19" i="38"/>
  <c r="M18" i="38"/>
  <c r="M17" i="38"/>
  <c r="M16" i="38"/>
  <c r="M15" i="38"/>
  <c r="D10" i="38"/>
  <c r="B10" i="38"/>
  <c r="M25" i="38" l="1"/>
  <c r="C12" i="38"/>
  <c r="C13" i="38" s="1"/>
  <c r="M24" i="37"/>
  <c r="M22" i="37"/>
  <c r="M21" i="37"/>
  <c r="M20" i="37"/>
  <c r="M19" i="37"/>
  <c r="M18" i="37"/>
  <c r="M17" i="37"/>
  <c r="M16" i="37"/>
  <c r="M15" i="37"/>
  <c r="M25" i="37" s="1"/>
  <c r="D10" i="37"/>
  <c r="B10" i="37"/>
  <c r="M24" i="36"/>
  <c r="M23" i="36"/>
  <c r="M22" i="36"/>
  <c r="M21" i="36"/>
  <c r="M20" i="36"/>
  <c r="M19" i="36"/>
  <c r="M18" i="36"/>
  <c r="M17" i="36"/>
  <c r="M16" i="36"/>
  <c r="M15" i="36"/>
  <c r="M25" i="36" s="1"/>
  <c r="D10" i="36"/>
  <c r="B10" i="36"/>
  <c r="M24" i="35"/>
  <c r="M23" i="35"/>
  <c r="M22" i="35"/>
  <c r="M21" i="35"/>
  <c r="M20" i="35"/>
  <c r="M19" i="35"/>
  <c r="M18" i="35"/>
  <c r="M17" i="35"/>
  <c r="M16" i="35"/>
  <c r="M15" i="35"/>
  <c r="M25" i="35" s="1"/>
  <c r="D10" i="35"/>
  <c r="B10" i="35"/>
  <c r="C12" i="37" l="1"/>
  <c r="C13" i="37" s="1"/>
  <c r="C12" i="36"/>
  <c r="C13" i="36" s="1"/>
  <c r="C12" i="35"/>
  <c r="C13" i="35" s="1"/>
  <c r="M24" i="34"/>
  <c r="M23" i="34"/>
  <c r="M22" i="34"/>
  <c r="M21" i="34"/>
  <c r="M20" i="34"/>
  <c r="M19" i="34"/>
  <c r="M18" i="34"/>
  <c r="M17" i="34"/>
  <c r="M16" i="34"/>
  <c r="M15" i="34"/>
  <c r="D10" i="34"/>
  <c r="B10" i="34"/>
  <c r="M25" i="34" l="1"/>
  <c r="C12" i="34"/>
  <c r="C13" i="34" s="1"/>
  <c r="M24" i="33"/>
  <c r="M23" i="33"/>
  <c r="M22" i="33"/>
  <c r="M21" i="33"/>
  <c r="M20" i="33"/>
  <c r="M19" i="33"/>
  <c r="M18" i="33"/>
  <c r="M17" i="33"/>
  <c r="M16" i="33"/>
  <c r="M15" i="33"/>
  <c r="D10" i="33"/>
  <c r="B10" i="33"/>
  <c r="M25" i="33" l="1"/>
  <c r="C12" i="33"/>
  <c r="C13" i="33" s="1"/>
  <c r="M24" i="32"/>
  <c r="M23" i="32"/>
  <c r="M22" i="32"/>
  <c r="M21" i="32"/>
  <c r="M20" i="32"/>
  <c r="M19" i="32"/>
  <c r="M18" i="32"/>
  <c r="M17" i="32"/>
  <c r="M16" i="32"/>
  <c r="M15" i="32"/>
  <c r="D10" i="32"/>
  <c r="B10" i="32"/>
  <c r="M25" i="32" l="1"/>
  <c r="C12" i="32"/>
  <c r="C13" i="32" s="1"/>
  <c r="M24" i="31"/>
  <c r="M23" i="31"/>
  <c r="M22" i="31"/>
  <c r="M21" i="31"/>
  <c r="M20" i="31"/>
  <c r="M19" i="31"/>
  <c r="M18" i="31"/>
  <c r="M17" i="31"/>
  <c r="M16" i="31"/>
  <c r="M15" i="31"/>
  <c r="D10" i="31"/>
  <c r="B10" i="31"/>
  <c r="M24" i="30"/>
  <c r="M23" i="30"/>
  <c r="M22" i="30"/>
  <c r="M21" i="30"/>
  <c r="M20" i="30"/>
  <c r="M19" i="30"/>
  <c r="M18" i="30"/>
  <c r="M17" i="30"/>
  <c r="M16" i="30"/>
  <c r="M15" i="30"/>
  <c r="D10" i="30"/>
  <c r="B10" i="30"/>
  <c r="M25" i="31" l="1"/>
  <c r="M25" i="30"/>
  <c r="C12" i="31"/>
  <c r="C13" i="31" s="1"/>
  <c r="C12" i="30"/>
  <c r="C13" i="30" s="1"/>
  <c r="M24" i="29"/>
  <c r="M23" i="29"/>
  <c r="M22" i="29"/>
  <c r="M21" i="29"/>
  <c r="M20" i="29"/>
  <c r="M19" i="29"/>
  <c r="M18" i="29"/>
  <c r="M17" i="29"/>
  <c r="M16" i="29"/>
  <c r="M15" i="29"/>
  <c r="D10" i="29"/>
  <c r="B10" i="29"/>
  <c r="M24" i="28"/>
  <c r="M23" i="28"/>
  <c r="M22" i="28"/>
  <c r="M21" i="28"/>
  <c r="M20" i="28"/>
  <c r="M19" i="28"/>
  <c r="M18" i="28"/>
  <c r="M17" i="28"/>
  <c r="M16" i="28"/>
  <c r="M15" i="28"/>
  <c r="D10" i="28"/>
  <c r="B10" i="28"/>
  <c r="M24" i="27"/>
  <c r="M23" i="27"/>
  <c r="M22" i="27"/>
  <c r="M21" i="27"/>
  <c r="M20" i="27"/>
  <c r="M19" i="27"/>
  <c r="M18" i="27"/>
  <c r="M17" i="27"/>
  <c r="M16" i="27"/>
  <c r="M15" i="27"/>
  <c r="M25" i="27" s="1"/>
  <c r="D10" i="27"/>
  <c r="B10" i="27"/>
  <c r="M25" i="28" l="1"/>
  <c r="M25" i="29"/>
  <c r="C12" i="29"/>
  <c r="C13" i="29" s="1"/>
  <c r="C12" i="28"/>
  <c r="C13" i="28" s="1"/>
  <c r="C12" i="27"/>
  <c r="C13" i="27" s="1"/>
  <c r="M24" i="26"/>
  <c r="M23" i="26"/>
  <c r="M22" i="26"/>
  <c r="M21" i="26"/>
  <c r="M20" i="26"/>
  <c r="M19" i="26"/>
  <c r="M18" i="26"/>
  <c r="M17" i="26"/>
  <c r="M16" i="26"/>
  <c r="M15" i="26"/>
  <c r="D10" i="26"/>
  <c r="B10" i="26"/>
  <c r="M25" i="26" l="1"/>
  <c r="C12" i="26"/>
  <c r="C13" i="26" s="1"/>
  <c r="M24" i="25"/>
  <c r="M23" i="25"/>
  <c r="M22" i="25"/>
  <c r="M21" i="25"/>
  <c r="M20" i="25"/>
  <c r="M19" i="25"/>
  <c r="M18" i="25"/>
  <c r="M17" i="25"/>
  <c r="M16" i="25"/>
  <c r="M15" i="25"/>
  <c r="D10" i="25"/>
  <c r="B10" i="25"/>
  <c r="C12" i="25" s="1"/>
  <c r="C13" i="25" s="1"/>
  <c r="M24" i="24"/>
  <c r="M23" i="24"/>
  <c r="M22" i="24"/>
  <c r="M21" i="24"/>
  <c r="M20" i="24"/>
  <c r="M19" i="24"/>
  <c r="M18" i="24"/>
  <c r="M17" i="24"/>
  <c r="M16" i="24"/>
  <c r="M15" i="24"/>
  <c r="D10" i="24"/>
  <c r="B10" i="24"/>
  <c r="C12" i="24" s="1"/>
  <c r="C13" i="24" s="1"/>
  <c r="M25" i="24" l="1"/>
  <c r="M25" i="25"/>
  <c r="M24" i="23"/>
  <c r="M23" i="23"/>
  <c r="M22" i="23"/>
  <c r="M21" i="23"/>
  <c r="M20" i="23"/>
  <c r="M19" i="23"/>
  <c r="M18" i="23"/>
  <c r="M17" i="23"/>
  <c r="M16" i="23"/>
  <c r="M15" i="23"/>
  <c r="D10" i="23"/>
  <c r="B10" i="23"/>
  <c r="M24" i="22"/>
  <c r="M23" i="22"/>
  <c r="M22" i="22"/>
  <c r="M21" i="22"/>
  <c r="M20" i="22"/>
  <c r="M19" i="22"/>
  <c r="M18" i="22"/>
  <c r="M17" i="22"/>
  <c r="M16" i="22"/>
  <c r="M15" i="22"/>
  <c r="D10" i="22"/>
  <c r="B10" i="22"/>
  <c r="M25" i="22" l="1"/>
  <c r="C12" i="23"/>
  <c r="C13" i="23" s="1"/>
  <c r="M25" i="23"/>
  <c r="C12" i="22"/>
  <c r="C13" i="22" s="1"/>
  <c r="M24" i="21"/>
  <c r="M23" i="21"/>
  <c r="M22" i="21"/>
  <c r="M21" i="21"/>
  <c r="M20" i="21"/>
  <c r="M19" i="21"/>
  <c r="M18" i="21"/>
  <c r="M17" i="21"/>
  <c r="M16" i="21"/>
  <c r="M15" i="21"/>
  <c r="D10" i="21"/>
  <c r="B10" i="21"/>
  <c r="C12" i="21" s="1"/>
  <c r="C13" i="21" s="1"/>
  <c r="M25" i="21" l="1"/>
  <c r="B10" i="20"/>
  <c r="M24" i="20"/>
  <c r="M23" i="20"/>
  <c r="M22" i="20"/>
  <c r="M21" i="20"/>
  <c r="M20" i="20"/>
  <c r="M19" i="20"/>
  <c r="M18" i="20"/>
  <c r="M17" i="20"/>
  <c r="M16" i="20"/>
  <c r="M15" i="20"/>
  <c r="M25" i="20" s="1"/>
  <c r="D10" i="20"/>
  <c r="C12" i="20" l="1"/>
  <c r="C13" i="20" s="1"/>
  <c r="M24" i="19"/>
  <c r="M23" i="19"/>
  <c r="M22" i="19"/>
  <c r="M21" i="19"/>
  <c r="M20" i="19"/>
  <c r="M19" i="19"/>
  <c r="M18" i="19"/>
  <c r="M17" i="19"/>
  <c r="M16" i="19"/>
  <c r="M15" i="19"/>
  <c r="D10" i="19"/>
  <c r="C12" i="19" s="1"/>
  <c r="C13" i="19" s="1"/>
  <c r="B10" i="19"/>
  <c r="M25" i="19" l="1"/>
  <c r="M24" i="18"/>
  <c r="M23" i="18"/>
  <c r="M22" i="18"/>
  <c r="M21" i="18"/>
  <c r="M20" i="18"/>
  <c r="M19" i="18"/>
  <c r="M18" i="18"/>
  <c r="M17" i="18"/>
  <c r="M16" i="18"/>
  <c r="M15" i="18"/>
  <c r="D10" i="18"/>
  <c r="B10" i="18"/>
  <c r="M24" i="17"/>
  <c r="M23" i="17"/>
  <c r="M22" i="17"/>
  <c r="M21" i="17"/>
  <c r="M20" i="17"/>
  <c r="M19" i="17"/>
  <c r="M18" i="17"/>
  <c r="M17" i="17"/>
  <c r="M16" i="17"/>
  <c r="M15" i="17"/>
  <c r="D10" i="17"/>
  <c r="B10" i="17"/>
  <c r="M25" i="18" l="1"/>
  <c r="M25" i="17"/>
  <c r="C12" i="18"/>
  <c r="C13" i="18" s="1"/>
  <c r="C12" i="17"/>
  <c r="C13" i="17" s="1"/>
  <c r="M24" i="16"/>
  <c r="M23" i="16"/>
  <c r="M22" i="16"/>
  <c r="M21" i="16"/>
  <c r="M20" i="16"/>
  <c r="M19" i="16"/>
  <c r="M18" i="16"/>
  <c r="M17" i="16"/>
  <c r="M16" i="16"/>
  <c r="M15" i="16"/>
  <c r="D10" i="16"/>
  <c r="B10" i="16"/>
  <c r="M25" i="16" l="1"/>
  <c r="C12" i="16"/>
  <c r="C13" i="16" s="1"/>
  <c r="B7" i="15"/>
  <c r="M21" i="15"/>
  <c r="M20" i="15"/>
  <c r="M19" i="15"/>
  <c r="M18" i="15"/>
  <c r="M17" i="15"/>
  <c r="M16" i="15"/>
  <c r="M15" i="15"/>
  <c r="M14" i="15"/>
  <c r="M13" i="15"/>
  <c r="M12" i="15"/>
  <c r="D7" i="15"/>
  <c r="M22" i="15" l="1"/>
  <c r="C9" i="15"/>
  <c r="C10" i="15" s="1"/>
  <c r="B7" i="14"/>
  <c r="M21" i="14"/>
  <c r="M20" i="14"/>
  <c r="M19" i="14"/>
  <c r="M18" i="14"/>
  <c r="M17" i="14"/>
  <c r="M16" i="14"/>
  <c r="M15" i="14"/>
  <c r="M14" i="14"/>
  <c r="M13" i="14"/>
  <c r="M12" i="14"/>
  <c r="M22" i="14" s="1"/>
  <c r="D7" i="14"/>
  <c r="C9" i="14" l="1"/>
  <c r="C10" i="14" s="1"/>
  <c r="M21" i="13"/>
  <c r="M20" i="13"/>
  <c r="M19" i="13"/>
  <c r="M18" i="13"/>
  <c r="M17" i="13"/>
  <c r="M16" i="13"/>
  <c r="M15" i="13"/>
  <c r="M14" i="13"/>
  <c r="M13" i="13"/>
  <c r="M12" i="13"/>
  <c r="D7" i="13"/>
  <c r="B7" i="13"/>
  <c r="C9" i="13" l="1"/>
  <c r="C10" i="13" s="1"/>
  <c r="M22" i="13"/>
  <c r="M22" i="12"/>
  <c r="M20" i="12"/>
  <c r="M19" i="12"/>
  <c r="M18" i="12"/>
  <c r="M17" i="12"/>
  <c r="M16" i="12"/>
  <c r="M15" i="12"/>
  <c r="M14" i="12"/>
  <c r="M13" i="12"/>
  <c r="M12" i="12"/>
  <c r="D7" i="12"/>
  <c r="B7" i="12"/>
  <c r="M23" i="12" l="1"/>
  <c r="C9" i="12"/>
  <c r="C10" i="12" s="1"/>
  <c r="M23" i="11"/>
  <c r="M22" i="11"/>
  <c r="M20" i="11"/>
  <c r="M19" i="11"/>
  <c r="M18" i="11"/>
  <c r="M17" i="11"/>
  <c r="M16" i="11"/>
  <c r="M15" i="11"/>
  <c r="M14" i="11"/>
  <c r="M13" i="11"/>
  <c r="M12" i="11"/>
  <c r="D7" i="11"/>
  <c r="B7" i="11"/>
  <c r="M24" i="11" l="1"/>
  <c r="C9" i="11"/>
  <c r="C10" i="11" s="1"/>
  <c r="M23" i="9"/>
  <c r="M22" i="9"/>
  <c r="M21" i="9"/>
  <c r="M20" i="9"/>
  <c r="M19" i="9"/>
  <c r="M18" i="9"/>
  <c r="M17" i="9"/>
  <c r="M16" i="9"/>
  <c r="M15" i="9"/>
  <c r="M14" i="9"/>
  <c r="M13" i="9"/>
  <c r="M12" i="9"/>
  <c r="D7" i="9"/>
  <c r="B7" i="9"/>
  <c r="M24" i="9" l="1"/>
  <c r="C9" i="9"/>
  <c r="C10" i="9" s="1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D7" i="10"/>
  <c r="B7" i="10"/>
  <c r="C9" i="10" l="1"/>
  <c r="C10" i="10" s="1"/>
  <c r="M25" i="10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D7" i="8"/>
  <c r="B7" i="8"/>
  <c r="M25" i="8" l="1"/>
  <c r="C9" i="8"/>
  <c r="C10" i="8" s="1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D7" i="7"/>
  <c r="B7" i="7"/>
  <c r="M25" i="7" l="1"/>
  <c r="C9" i="7"/>
  <c r="C10" i="7" s="1"/>
  <c r="E7" i="6"/>
  <c r="E6" i="6"/>
  <c r="E5" i="6"/>
  <c r="E4" i="6"/>
  <c r="E3" i="6"/>
  <c r="E2" i="6"/>
  <c r="E8" i="6" l="1"/>
  <c r="D7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B7" i="4"/>
  <c r="M25" i="4" l="1"/>
  <c r="C9" i="4"/>
  <c r="C10" i="4" s="1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D7" i="3"/>
  <c r="B7" i="3"/>
  <c r="C9" i="3" l="1"/>
  <c r="C10" i="3" s="1"/>
  <c r="M25" i="3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25" i="2" l="1"/>
  <c r="D7" i="2"/>
  <c r="B7" i="2"/>
  <c r="C9" i="2" l="1"/>
  <c r="C10" i="2" s="1"/>
  <c r="D9" i="1"/>
  <c r="B9" i="1"/>
  <c r="C11" i="1" l="1"/>
  <c r="C12" i="1" s="1"/>
</calcChain>
</file>

<file path=xl/sharedStrings.xml><?xml version="1.0" encoding="utf-8"?>
<sst xmlns="http://schemas.openxmlformats.org/spreadsheetml/2006/main" count="2937" uniqueCount="193">
  <si>
    <t>الايرادات</t>
  </si>
  <si>
    <t>المصروفات</t>
  </si>
  <si>
    <t>رصيد سابق</t>
  </si>
  <si>
    <t>مديونيات (ا/سعيد)</t>
  </si>
  <si>
    <t xml:space="preserve">عداد </t>
  </si>
  <si>
    <t>كشافات</t>
  </si>
  <si>
    <t>كالون باب العمارة</t>
  </si>
  <si>
    <t>بناء سور السلم للسطح</t>
  </si>
  <si>
    <t>الصيانه الشهرية</t>
  </si>
  <si>
    <t>صيانه الاسانسير</t>
  </si>
  <si>
    <t>مرتب الحارس</t>
  </si>
  <si>
    <t>الجمالي</t>
  </si>
  <si>
    <t>الرصيد الحالى</t>
  </si>
  <si>
    <t>ملاحظات</t>
  </si>
  <si>
    <t>الرصيد الفعلي</t>
  </si>
  <si>
    <t>لدي الاستاذ / حمدي الدور التاسع احطياطى</t>
  </si>
  <si>
    <t xml:space="preserve">المديونيات  كما هي </t>
  </si>
  <si>
    <t>سقف غرفة المصعد</t>
  </si>
  <si>
    <t>عدد الشقق 21 شقه دفع عدد 21 شقة</t>
  </si>
  <si>
    <t>عدد الشقق 21 شقه دفع عدد 21 شقة * 200 جنيه</t>
  </si>
  <si>
    <t>مرتب الحارس من 20 شقة 2000</t>
  </si>
  <si>
    <t>مستلزمات نظافه</t>
  </si>
  <si>
    <t>مديونيات سابقه</t>
  </si>
  <si>
    <t xml:space="preserve">ا/ديمترى </t>
  </si>
  <si>
    <t>ا/سامح</t>
  </si>
  <si>
    <t xml:space="preserve">المديونيات  السابقه </t>
  </si>
  <si>
    <t>الاسم</t>
  </si>
  <si>
    <t>الدور</t>
  </si>
  <si>
    <t>المدخل</t>
  </si>
  <si>
    <t>الموتور</t>
  </si>
  <si>
    <t>عداد</t>
  </si>
  <si>
    <t>اسانسير</t>
  </si>
  <si>
    <t>اجمالى</t>
  </si>
  <si>
    <t>ا/محمد عبد المنعم</t>
  </si>
  <si>
    <t>الاول</t>
  </si>
  <si>
    <t>ا/محمد احمد</t>
  </si>
  <si>
    <t>الثاني</t>
  </si>
  <si>
    <t>ا/سعودي</t>
  </si>
  <si>
    <t>د/اشرف</t>
  </si>
  <si>
    <t>الثالث</t>
  </si>
  <si>
    <t>ا/رفعت</t>
  </si>
  <si>
    <t>الخامس</t>
  </si>
  <si>
    <t>غير معلوم</t>
  </si>
  <si>
    <t>د/احمد</t>
  </si>
  <si>
    <t>ا/ارسانى</t>
  </si>
  <si>
    <t>السابع</t>
  </si>
  <si>
    <t>ا/ديمتري</t>
  </si>
  <si>
    <t>الثامن</t>
  </si>
  <si>
    <t>ا/سعيد</t>
  </si>
  <si>
    <t>التاسع</t>
  </si>
  <si>
    <t>ا/طارق</t>
  </si>
  <si>
    <t>العاشر</t>
  </si>
  <si>
    <t>المديونيات المستحقه</t>
  </si>
  <si>
    <t>الاجمالي</t>
  </si>
  <si>
    <t>ديون شبه معدومه</t>
  </si>
  <si>
    <t>ديون مشكوك فيها (قد لا يتم تحصيلها)</t>
  </si>
  <si>
    <t>موتور مياة</t>
  </si>
  <si>
    <t>مستلزمات نظافة</t>
  </si>
  <si>
    <t>قطع غيار اسانسير</t>
  </si>
  <si>
    <t>موتور المياه ( رولمان بيل + لف الموتور) = 400 جنية</t>
  </si>
  <si>
    <t>الاسانسير (تغيير مفتاح بالوش كامل (مفتاح طلب الاسانسير) + تغيير ترس باب) = 650 جنية</t>
  </si>
  <si>
    <t>مصر فات</t>
  </si>
  <si>
    <t>ايرادات</t>
  </si>
  <si>
    <t>تغيير كوالين المصعد</t>
  </si>
  <si>
    <t>رصيد الكهرباء ( ١٠٠٠ )</t>
  </si>
  <si>
    <t xml:space="preserve">إصلاح خط المياه </t>
  </si>
  <si>
    <t xml:space="preserve">رصيد سابق </t>
  </si>
  <si>
    <t>إصلاح موتور المياه</t>
  </si>
  <si>
    <t>شحن كهرباء</t>
  </si>
  <si>
    <t>رصيد شهر ٧</t>
  </si>
  <si>
    <t>راتب الحارس</t>
  </si>
  <si>
    <t>تحصيل ديون</t>
  </si>
  <si>
    <t>ايراد شهر ٨</t>
  </si>
  <si>
    <t>إجمالي المصروفات</t>
  </si>
  <si>
    <t xml:space="preserve">الإجمالي الرصيد </t>
  </si>
  <si>
    <t>إجمالي الرصيد بعد خصم المصروفات</t>
  </si>
  <si>
    <t>متبقي مبلغ ٥٠٠</t>
  </si>
  <si>
    <t xml:space="preserve">الاستاذ ارساني </t>
  </si>
  <si>
    <t>متبقي ٧٠٠</t>
  </si>
  <si>
    <t xml:space="preserve">الاستاذ دمتري </t>
  </si>
  <si>
    <t>الاستاذ سعيد</t>
  </si>
  <si>
    <t>باقي المديونيات كما هي</t>
  </si>
  <si>
    <t>الاجمالي الحالي لدي</t>
  </si>
  <si>
    <t xml:space="preserve">لدي الاستاذ حمدي الدور ٩ للطوارئ </t>
  </si>
  <si>
    <t>للصرف منه في حال عدم وجودي بالعماره</t>
  </si>
  <si>
    <t xml:space="preserve">شهر 8 </t>
  </si>
  <si>
    <t>الصندوق</t>
  </si>
  <si>
    <t xml:space="preserve">الايرادات </t>
  </si>
  <si>
    <t>البيان</t>
  </si>
  <si>
    <t>المتبقى</t>
  </si>
  <si>
    <t>شهر 9</t>
  </si>
  <si>
    <t>شهر 10</t>
  </si>
  <si>
    <t>شهر 11</t>
  </si>
  <si>
    <t>شهر 12</t>
  </si>
  <si>
    <t>شهر 1</t>
  </si>
  <si>
    <t>الصندوق : عباره عن المديونيات السابقه الخاصة بالملاك وما تم تجميعه لتطوير العمارة وهو خاص بملاك الوحدات فقط</t>
  </si>
  <si>
    <t>الايرادات : عبارة عن ماتم جمعه من ملاك الوحدات والمستأجرين ويتم الصرف منها على فواتير الكهرباء والمياه وصيانه الاسانسير ومواسير الصرف والمياه والماتور وكل مايتم استخدامه من السكان</t>
  </si>
  <si>
    <t>المتبقي : عبارة عن ما تبقى من الايرادات بعد خصم المصروفات</t>
  </si>
  <si>
    <t>تم سحبهم من الصندوق لحين تجميع ايراد العمارة لسداد فاتورة المياه والكهرباء</t>
  </si>
  <si>
    <t>البيان السابق يوضح الايرادات والمصروفات والمتبقى حتي يوم 16 \1\2021</t>
  </si>
  <si>
    <t>سباكه</t>
  </si>
  <si>
    <t>فاتورة المياة</t>
  </si>
  <si>
    <t>عدد الشقق 22 شقه دفع عدد 22 شقة * 200 جنيه</t>
  </si>
  <si>
    <t>ا/ارساني</t>
  </si>
  <si>
    <t xml:space="preserve">فاتورة المياه عن اشهر ( يوليو حتي ديسمبر) 6 اشهر =1975 جنيه </t>
  </si>
  <si>
    <t>سباكه ( كسر بماسورة الصرف بين الدور الرابع والخامس) بمنور الشقه 150م</t>
  </si>
  <si>
    <t>ادوات نظافه</t>
  </si>
  <si>
    <t>انتهت المديونيه</t>
  </si>
  <si>
    <t>ديون معدومه</t>
  </si>
  <si>
    <t>عداد الكهرباء</t>
  </si>
  <si>
    <t>المديونيات  السابقه المتحصله</t>
  </si>
  <si>
    <t>موتور مياه</t>
  </si>
  <si>
    <t>ا/دمتري</t>
  </si>
  <si>
    <t>سدد المديونيه</t>
  </si>
  <si>
    <t>فاتورة مياه</t>
  </si>
  <si>
    <t>لمبات للمدخل</t>
  </si>
  <si>
    <t>د/ اشرف</t>
  </si>
  <si>
    <t>عدد الشقق 23 شقه دفع عدد 23 شقة * 200 جنيه</t>
  </si>
  <si>
    <t>ماهر</t>
  </si>
  <si>
    <t>مفتاح موتور مياه</t>
  </si>
  <si>
    <t>نظافة المنور</t>
  </si>
  <si>
    <t>صيانه الصرف</t>
  </si>
  <si>
    <t>ا/ محمد احمد</t>
  </si>
  <si>
    <t>لف ماتور المياه</t>
  </si>
  <si>
    <t>تركيب كاميرات</t>
  </si>
  <si>
    <t>تزويد كهرباء للكاميرات</t>
  </si>
  <si>
    <t>تسليك صرف</t>
  </si>
  <si>
    <t>تم الاتفاق مع ا/ خالد ، ا/ ليثي الدور الاول بدفع 100</t>
  </si>
  <si>
    <t>صندوق للقمامه</t>
  </si>
  <si>
    <t>فاتوره المياه</t>
  </si>
  <si>
    <t>ماتور</t>
  </si>
  <si>
    <t>الدور الاول</t>
  </si>
  <si>
    <t>فاتورة المياه</t>
  </si>
  <si>
    <t>مصروفات</t>
  </si>
  <si>
    <t>كشاف كهرباء</t>
  </si>
  <si>
    <t>مواصلات</t>
  </si>
  <si>
    <t>اصلاحات</t>
  </si>
  <si>
    <t>عدد الشقق 20 شقه دفع عدد 20 شقة * 200 جنيه</t>
  </si>
  <si>
    <t>معاينه للصرف الصحي</t>
  </si>
  <si>
    <t>ابواب حديد</t>
  </si>
  <si>
    <t>اصلاح للصرف الصحي</t>
  </si>
  <si>
    <t>تغير مواسير مياه</t>
  </si>
  <si>
    <t>مهمات</t>
  </si>
  <si>
    <t>حشو باب اسانسير</t>
  </si>
  <si>
    <t>صاعد كهرباء</t>
  </si>
  <si>
    <t>تغيير كارت اسانسير</t>
  </si>
  <si>
    <t>شيكارة اسمنت ابيض</t>
  </si>
  <si>
    <t>بور للكاميرات</t>
  </si>
  <si>
    <t>كوع مياه</t>
  </si>
  <si>
    <t>مفاتورة مياه</t>
  </si>
  <si>
    <t>مديونيه سابقه</t>
  </si>
  <si>
    <t>ا/ ارساني</t>
  </si>
  <si>
    <t>حنفيه مياه</t>
  </si>
  <si>
    <t>صابون</t>
  </si>
  <si>
    <t>عدد الشقق 24شقه دفع عدد 24 شقة * 225 جنيه</t>
  </si>
  <si>
    <t>عدد الشقق 23 شقه دفع عدد 23 شقة * 225 جنيه</t>
  </si>
  <si>
    <t>عداد مياه</t>
  </si>
  <si>
    <t>اصلاح ماتور المياه</t>
  </si>
  <si>
    <t>اصلاح اسانسير</t>
  </si>
  <si>
    <t>عدد الشقق 23 شقه دفع عدد 22 شقة * 225 جنيه</t>
  </si>
  <si>
    <t>اسمنت</t>
  </si>
  <si>
    <t>سباك</t>
  </si>
  <si>
    <t xml:space="preserve">يوجد 3000 طرف السكان باقي حساب دهان الاسانسير </t>
  </si>
  <si>
    <t>(حمدي ، ارساني ، بدوي ، رفعت ، خالد ، احمد)</t>
  </si>
  <si>
    <t xml:space="preserve">الاستاذ /(حمدي ، ارساني ، بدوي ، رفعت ، خالد ، احمد) </t>
  </si>
  <si>
    <t>عدد الشقق 23 شقه دفع عدد 23 شقة * 250 جنيه</t>
  </si>
  <si>
    <t>مديونات سابقه</t>
  </si>
  <si>
    <t>اصلاح زجاج الاسانسير</t>
  </si>
  <si>
    <t>استاذ / طارق الدور العاشر 1000</t>
  </si>
  <si>
    <t>استاذ / طارق الدور العاشر 600</t>
  </si>
  <si>
    <t>استاذ / خالد 500</t>
  </si>
  <si>
    <t>نظافه</t>
  </si>
  <si>
    <t>ماتور مياه</t>
  </si>
  <si>
    <t>حشو اسانسير</t>
  </si>
  <si>
    <t>مفتاح اسانسير</t>
  </si>
  <si>
    <t>صرف صحي</t>
  </si>
  <si>
    <t>مفتاح كهرباء</t>
  </si>
  <si>
    <t xml:space="preserve">ا/ حمدي </t>
  </si>
  <si>
    <t xml:space="preserve">ا/ بدوي </t>
  </si>
  <si>
    <t>فاتوره مياه</t>
  </si>
  <si>
    <t>لمبه اسانسير</t>
  </si>
  <si>
    <t>سوسته اسانسير</t>
  </si>
  <si>
    <t>اوتوماتك ماتور</t>
  </si>
  <si>
    <t>حمدي 9</t>
  </si>
  <si>
    <t>دهان اسانسير</t>
  </si>
  <si>
    <t>دهان اسانسير+شهريه</t>
  </si>
  <si>
    <t>دهان اسانسير +صيانه اسانسير</t>
  </si>
  <si>
    <t>صرف</t>
  </si>
  <si>
    <t>اجرة كهربائي</t>
  </si>
  <si>
    <t>لمبه مدخل العمارة</t>
  </si>
  <si>
    <t>مياه</t>
  </si>
  <si>
    <t>حداد</t>
  </si>
  <si>
    <t>تقليم شجر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</si>
</sst>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b/>
      <sz val="10"/>
      <color rgb="FFFF0000"/>
      <name val="Arial"/>
    </font>
    <font>
      <u val="double"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49">
    <xf numFmtId="0" fontId="0" fillId="0" borderId="0" xfId="0"/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0" xfId="0" applyFill="1"/>
    <xf numFmtId="0" fontId="0" fillId="3" borderId="0" xfId="0" applyFill="1"/>
    <xf numFmtId="0" fontId="8" fillId="0" borderId="0" xfId="0" applyFont="1"/>
    <xf numFmtId="0" fontId="10" fillId="0" borderId="0" xfId="1"/>
    <xf numFmtId="0" fontId="11" fillId="0" borderId="0" xfId="1" applyFont="1"/>
    <xf numFmtId="0" fontId="12" fillId="0" borderId="0" xfId="1" applyFont="1"/>
    <xf numFmtId="0" fontId="13" fillId="5" borderId="0" xfId="1" applyFont="1" applyFill="1"/>
    <xf numFmtId="0" fontId="14" fillId="0" borderId="0" xfId="0" applyFont="1"/>
    <xf numFmtId="0" fontId="9" fillId="0" borderId="12" xfId="0" applyFont="1" applyBorder="1"/>
    <xf numFmtId="0" fontId="0" fillId="6" borderId="1" xfId="0" applyFill="1" applyBorder="1"/>
    <xf numFmtId="0" fontId="0" fillId="7" borderId="1" xfId="0" applyFill="1" applyBorder="1"/>
    <xf numFmtId="0" fontId="15" fillId="2" borderId="1" xfId="0" applyFont="1" applyFill="1" applyBorder="1"/>
    <xf numFmtId="0" fontId="0" fillId="0" borderId="0" xfId="0" applyAlignment="1">
      <alignment horizontal="left"/>
    </xf>
    <xf numFmtId="0" fontId="1" fillId="0" borderId="12" xfId="0" applyFont="1" applyBorder="1"/>
    <xf numFmtId="0" fontId="15" fillId="4" borderId="1" xfId="0" applyFont="1" applyFill="1" applyBorder="1"/>
    <xf numFmtId="0" fontId="16" fillId="0" borderId="1" xfId="0" applyFont="1" applyBorder="1"/>
    <xf numFmtId="0" fontId="1" fillId="0" borderId="3" xfId="0" applyFont="1" applyBorder="1"/>
    <xf numFmtId="0" fontId="1" fillId="0" borderId="14" xfId="0" applyFont="1" applyBorder="1"/>
    <xf numFmtId="0" fontId="1" fillId="0" borderId="15" xfId="0" applyFont="1" applyBorder="1"/>
    <xf numFmtId="0" fontId="0" fillId="0" borderId="13" xfId="0" applyBorder="1"/>
    <xf numFmtId="0" fontId="11" fillId="0" borderId="7" xfId="1" applyFont="1" applyBorder="1"/>
    <xf numFmtId="0" fontId="12" fillId="0" borderId="8" xfId="1" applyFont="1" applyBorder="1"/>
    <xf numFmtId="0" fontId="11" fillId="0" borderId="10" xfId="1" applyFont="1" applyBorder="1"/>
    <xf numFmtId="0" fontId="12" fillId="0" borderId="11" xfId="1" applyFont="1" applyBorder="1"/>
    <xf numFmtId="0" fontId="11" fillId="0" borderId="6" xfId="1" applyFont="1" applyBorder="1"/>
    <xf numFmtId="0" fontId="12" fillId="0" borderId="9" xfId="1" applyFont="1" applyBorder="1"/>
    <xf numFmtId="0" fontId="11" fillId="0" borderId="0" xfId="1" applyFont="1" applyAlignment="1">
      <alignment horizontal="center"/>
    </xf>
    <xf numFmtId="0" fontId="10" fillId="0" borderId="0" xfId="1"/>
    <xf numFmtId="0" fontId="11" fillId="0" borderId="0" xfId="1" applyFont="1"/>
    <xf numFmtId="0" fontId="3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rightToLeft="1" workbookViewId="0">
      <selection activeCell="C8" sqref="C8"/>
    </sheetView>
  </sheetViews>
  <sheetFormatPr defaultRowHeight="14.5" x14ac:dyDescent="0.35"/>
  <cols>
    <col min="1" max="1" width="4.7265625" bestFit="1" customWidth="1"/>
    <col min="2" max="2" width="13" bestFit="1" customWidth="1"/>
    <col min="3" max="3" width="10.1796875" bestFit="1" customWidth="1"/>
    <col min="4" max="4" width="16.08984375" bestFit="1" customWidth="1"/>
    <col min="5" max="5" width="13.90625" customWidth="1"/>
  </cols>
  <sheetData>
    <row r="1" spans="1:6" x14ac:dyDescent="0.35">
      <c r="A1" s="37" t="s">
        <v>61</v>
      </c>
      <c r="B1" s="38"/>
      <c r="C1" s="37" t="s">
        <v>62</v>
      </c>
      <c r="D1" s="38"/>
      <c r="E1" s="14"/>
    </row>
    <row r="2" spans="1:6" x14ac:dyDescent="0.35">
      <c r="A2" s="15">
        <v>2650</v>
      </c>
      <c r="B2" s="15" t="s">
        <v>63</v>
      </c>
      <c r="C2" s="16">
        <v>10365</v>
      </c>
      <c r="D2" s="16" t="s">
        <v>64</v>
      </c>
      <c r="E2" s="16"/>
    </row>
    <row r="3" spans="1:6" x14ac:dyDescent="0.35">
      <c r="A3" s="15">
        <v>350</v>
      </c>
      <c r="B3" s="15" t="s">
        <v>65</v>
      </c>
      <c r="C3" s="15">
        <v>1970</v>
      </c>
      <c r="D3" s="37" t="s">
        <v>66</v>
      </c>
      <c r="E3" s="16"/>
    </row>
    <row r="4" spans="1:6" x14ac:dyDescent="0.35">
      <c r="A4" s="15">
        <v>900</v>
      </c>
      <c r="B4" s="16" t="s">
        <v>67</v>
      </c>
      <c r="C4" s="16">
        <v>1500</v>
      </c>
      <c r="D4" s="38"/>
      <c r="E4" s="14"/>
    </row>
    <row r="5" spans="1:6" x14ac:dyDescent="0.35">
      <c r="A5" s="15">
        <v>1500</v>
      </c>
      <c r="B5" s="15" t="s">
        <v>68</v>
      </c>
      <c r="C5" s="15">
        <v>560</v>
      </c>
      <c r="D5" s="15" t="s">
        <v>69</v>
      </c>
      <c r="E5" s="14"/>
    </row>
    <row r="6" spans="1:6" x14ac:dyDescent="0.35">
      <c r="A6" s="15">
        <v>2200</v>
      </c>
      <c r="B6" s="15" t="s">
        <v>70</v>
      </c>
      <c r="C6" s="15">
        <v>250</v>
      </c>
      <c r="D6" s="15" t="s">
        <v>71</v>
      </c>
      <c r="E6" s="14"/>
    </row>
    <row r="7" spans="1:6" x14ac:dyDescent="0.35">
      <c r="A7" s="14"/>
      <c r="B7" s="14"/>
      <c r="C7" s="15">
        <v>7660</v>
      </c>
      <c r="D7" s="15" t="s">
        <v>72</v>
      </c>
      <c r="E7" s="14"/>
    </row>
    <row r="8" spans="1:6" x14ac:dyDescent="0.35">
      <c r="A8" s="15">
        <v>7600</v>
      </c>
      <c r="B8" s="15" t="s">
        <v>73</v>
      </c>
      <c r="C8" s="15">
        <v>22305</v>
      </c>
      <c r="D8" s="16" t="s">
        <v>74</v>
      </c>
      <c r="E8" s="14"/>
    </row>
    <row r="10" spans="1:6" x14ac:dyDescent="0.35">
      <c r="F10">
        <f>C7+B11</f>
        <v>22365</v>
      </c>
    </row>
    <row r="11" spans="1:6" x14ac:dyDescent="0.35">
      <c r="A11" s="14"/>
      <c r="B11" s="15">
        <v>14705</v>
      </c>
      <c r="C11" s="37" t="s">
        <v>75</v>
      </c>
      <c r="D11" s="38"/>
      <c r="E11" s="14"/>
    </row>
    <row r="14" spans="1:6" x14ac:dyDescent="0.35">
      <c r="A14" s="14"/>
      <c r="B14" s="14"/>
      <c r="C14" s="14"/>
      <c r="D14" s="17" t="s">
        <v>13</v>
      </c>
      <c r="E14" s="14"/>
    </row>
    <row r="16" spans="1:6" x14ac:dyDescent="0.35">
      <c r="A16" s="14"/>
      <c r="B16" s="14"/>
      <c r="C16" s="15" t="s">
        <v>76</v>
      </c>
      <c r="D16" s="15" t="s">
        <v>77</v>
      </c>
      <c r="E16" s="14"/>
    </row>
    <row r="17" spans="2:4" x14ac:dyDescent="0.35">
      <c r="B17" s="14"/>
      <c r="C17" s="15" t="s">
        <v>78</v>
      </c>
      <c r="D17" s="15" t="s">
        <v>79</v>
      </c>
    </row>
    <row r="18" spans="2:4" x14ac:dyDescent="0.35">
      <c r="B18" s="14"/>
      <c r="C18" s="15">
        <v>150</v>
      </c>
      <c r="D18" s="15" t="s">
        <v>80</v>
      </c>
    </row>
    <row r="19" spans="2:4" x14ac:dyDescent="0.35">
      <c r="B19" s="14"/>
      <c r="C19" s="14"/>
      <c r="D19" s="15" t="s">
        <v>81</v>
      </c>
    </row>
    <row r="21" spans="2:4" x14ac:dyDescent="0.35">
      <c r="B21" s="15">
        <v>13205</v>
      </c>
      <c r="C21" s="39" t="s">
        <v>82</v>
      </c>
      <c r="D21" s="38"/>
    </row>
    <row r="22" spans="2:4" x14ac:dyDescent="0.35">
      <c r="B22" s="35">
        <v>1500</v>
      </c>
      <c r="C22" s="31" t="s">
        <v>83</v>
      </c>
      <c r="D22" s="32"/>
    </row>
    <row r="23" spans="2:4" x14ac:dyDescent="0.35">
      <c r="B23" s="36"/>
      <c r="C23" s="33" t="s">
        <v>84</v>
      </c>
      <c r="D23" s="34"/>
    </row>
  </sheetData>
  <mergeCells count="8">
    <mergeCell ref="C22:D22"/>
    <mergeCell ref="C23:D23"/>
    <mergeCell ref="B22:B23"/>
    <mergeCell ref="C1:D1"/>
    <mergeCell ref="D3:D4"/>
    <mergeCell ref="A1:B1"/>
    <mergeCell ref="C11:D11"/>
    <mergeCell ref="C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rightToLeft="1" workbookViewId="0">
      <selection activeCell="C11" sqref="C11"/>
    </sheetView>
  </sheetViews>
  <sheetFormatPr defaultRowHeight="14.5" x14ac:dyDescent="0.35"/>
  <cols>
    <col min="1" max="1" width="14.453125" bestFit="1" customWidth="1"/>
    <col min="2" max="2" width="15.36328125" bestFit="1" customWidth="1"/>
    <col min="3" max="3" width="16.54296875" bestFit="1" customWidth="1"/>
  </cols>
  <sheetData>
    <row r="1" spans="1:4" ht="18.5" x14ac:dyDescent="0.45">
      <c r="A1" s="40" t="s">
        <v>0</v>
      </c>
      <c r="B1" s="40"/>
      <c r="C1" s="40" t="s">
        <v>1</v>
      </c>
      <c r="D1" s="40"/>
    </row>
    <row r="2" spans="1:4" ht="15.5" x14ac:dyDescent="0.35">
      <c r="A2" s="1" t="s">
        <v>2</v>
      </c>
      <c r="B2" s="1">
        <v>14705</v>
      </c>
      <c r="C2" s="1" t="s">
        <v>4</v>
      </c>
      <c r="D2" s="1">
        <v>3000</v>
      </c>
    </row>
    <row r="3" spans="1:4" ht="15.5" x14ac:dyDescent="0.35">
      <c r="A3" s="1" t="s">
        <v>3</v>
      </c>
      <c r="B3" s="1">
        <v>150</v>
      </c>
      <c r="C3" s="1" t="s">
        <v>5</v>
      </c>
      <c r="D3" s="1">
        <v>250</v>
      </c>
    </row>
    <row r="4" spans="1:4" ht="15.5" x14ac:dyDescent="0.35">
      <c r="A4" s="1" t="s">
        <v>8</v>
      </c>
      <c r="B4" s="1">
        <v>6300</v>
      </c>
      <c r="C4" s="1" t="s">
        <v>6</v>
      </c>
      <c r="D4" s="1">
        <v>200</v>
      </c>
    </row>
    <row r="5" spans="1:4" ht="15.5" x14ac:dyDescent="0.35">
      <c r="A5" s="1"/>
      <c r="B5" s="1"/>
      <c r="C5" s="1" t="s">
        <v>17</v>
      </c>
      <c r="D5" s="1">
        <v>3150</v>
      </c>
    </row>
    <row r="6" spans="1:4" ht="15.5" x14ac:dyDescent="0.35">
      <c r="A6" s="1"/>
      <c r="B6" s="1"/>
      <c r="C6" s="1" t="s">
        <v>7</v>
      </c>
      <c r="D6" s="1">
        <v>500</v>
      </c>
    </row>
    <row r="7" spans="1:4" ht="15.5" x14ac:dyDescent="0.35">
      <c r="A7" s="1"/>
      <c r="B7" s="1"/>
      <c r="C7" s="1" t="s">
        <v>9</v>
      </c>
      <c r="D7" s="1">
        <v>525</v>
      </c>
    </row>
    <row r="8" spans="1:4" ht="15.5" x14ac:dyDescent="0.35">
      <c r="A8" s="1"/>
      <c r="B8" s="1"/>
      <c r="C8" s="1" t="s">
        <v>10</v>
      </c>
      <c r="D8" s="1">
        <v>2100</v>
      </c>
    </row>
    <row r="9" spans="1:4" ht="15.5" x14ac:dyDescent="0.35">
      <c r="A9" s="2" t="s">
        <v>11</v>
      </c>
      <c r="B9" s="2">
        <f>SUM(B2:B8)</f>
        <v>21155</v>
      </c>
      <c r="C9" s="2"/>
      <c r="D9" s="2">
        <f>SUM(D2:D8)</f>
        <v>9725</v>
      </c>
    </row>
    <row r="11" spans="1:4" ht="21" x14ac:dyDescent="0.5">
      <c r="B11" s="3" t="s">
        <v>12</v>
      </c>
      <c r="C11" s="3">
        <f>B9-D9</f>
        <v>11430</v>
      </c>
    </row>
    <row r="12" spans="1:4" ht="21" x14ac:dyDescent="0.5">
      <c r="B12" s="3" t="s">
        <v>14</v>
      </c>
      <c r="C12" s="3">
        <f>C11-1500</f>
        <v>9930</v>
      </c>
    </row>
    <row r="14" spans="1:4" ht="21" x14ac:dyDescent="0.5">
      <c r="A14" s="4" t="s">
        <v>13</v>
      </c>
    </row>
    <row r="15" spans="1:4" ht="18.5" x14ac:dyDescent="0.45">
      <c r="B15" s="6"/>
    </row>
    <row r="16" spans="1:4" ht="18.5" x14ac:dyDescent="0.45">
      <c r="B16" s="6"/>
      <c r="C16" s="6"/>
      <c r="D16" s="6"/>
    </row>
    <row r="17" spans="1:4" ht="18.5" x14ac:dyDescent="0.45">
      <c r="A17" s="5">
        <v>1500</v>
      </c>
      <c r="B17" s="6" t="s">
        <v>15</v>
      </c>
      <c r="C17" s="6"/>
      <c r="D17" s="6"/>
    </row>
    <row r="18" spans="1:4" ht="18.5" x14ac:dyDescent="0.45">
      <c r="A18" s="6"/>
      <c r="B18" s="6"/>
      <c r="C18" s="6"/>
      <c r="D18" s="6"/>
    </row>
    <row r="19" spans="1:4" ht="18.5" x14ac:dyDescent="0.45">
      <c r="B19" s="6" t="s">
        <v>16</v>
      </c>
    </row>
    <row r="21" spans="1:4" ht="18.5" x14ac:dyDescent="0.45">
      <c r="B21" s="6" t="s">
        <v>18</v>
      </c>
    </row>
  </sheetData>
  <mergeCells count="2">
    <mergeCell ref="A1:B1"/>
    <mergeCell ref="C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rightToLeft="1" workbookViewId="0">
      <selection activeCell="B28" sqref="B28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2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11430</v>
      </c>
      <c r="C2" s="1" t="s">
        <v>4</v>
      </c>
      <c r="D2" s="1">
        <v>2000</v>
      </c>
    </row>
    <row r="3" spans="1:13" ht="15.5" x14ac:dyDescent="0.35">
      <c r="A3" s="1" t="s">
        <v>22</v>
      </c>
      <c r="B3" s="1">
        <v>200</v>
      </c>
      <c r="C3" s="1" t="s">
        <v>21</v>
      </c>
      <c r="D3" s="1">
        <v>100</v>
      </c>
    </row>
    <row r="4" spans="1:13" ht="15.5" x14ac:dyDescent="0.35">
      <c r="A4" s="1" t="s">
        <v>8</v>
      </c>
      <c r="B4" s="1">
        <v>4200</v>
      </c>
      <c r="C4" s="1" t="s">
        <v>9</v>
      </c>
      <c r="D4" s="1">
        <v>200</v>
      </c>
    </row>
    <row r="5" spans="1:13" ht="15.5" x14ac:dyDescent="0.35">
      <c r="A5" s="1"/>
      <c r="B5" s="1"/>
      <c r="C5" s="1"/>
      <c r="D5" s="1"/>
    </row>
    <row r="6" spans="1:13" ht="15.5" x14ac:dyDescent="0.35">
      <c r="A6" s="1"/>
      <c r="B6" s="1"/>
      <c r="C6" s="1"/>
      <c r="D6" s="1"/>
    </row>
    <row r="7" spans="1:13" ht="15.5" x14ac:dyDescent="0.35">
      <c r="A7" s="2" t="s">
        <v>53</v>
      </c>
      <c r="B7" s="2">
        <f>SUM(B2:B6)</f>
        <v>15830</v>
      </c>
      <c r="C7" s="2"/>
      <c r="D7" s="2">
        <f>SUM(D2:D6)</f>
        <v>2300</v>
      </c>
    </row>
    <row r="9" spans="1:13" ht="21" x14ac:dyDescent="0.5">
      <c r="B9" s="3" t="s">
        <v>12</v>
      </c>
      <c r="C9" s="3">
        <f>B7-D7</f>
        <v>13530</v>
      </c>
    </row>
    <row r="10" spans="1:13" ht="21" x14ac:dyDescent="0.5">
      <c r="B10" s="3" t="s">
        <v>14</v>
      </c>
      <c r="C10" s="3">
        <f>C9-1500</f>
        <v>12030</v>
      </c>
      <c r="G10" s="41" t="s">
        <v>52</v>
      </c>
      <c r="H10" s="41"/>
      <c r="I10" s="41"/>
    </row>
    <row r="11" spans="1:13" x14ac:dyDescent="0.35">
      <c r="G11" s="7" t="s">
        <v>26</v>
      </c>
      <c r="H11" s="7" t="s">
        <v>27</v>
      </c>
      <c r="I11" s="7" t="s">
        <v>28</v>
      </c>
      <c r="J11" s="7" t="s">
        <v>29</v>
      </c>
      <c r="K11" s="7" t="s">
        <v>30</v>
      </c>
      <c r="L11" s="7" t="s">
        <v>31</v>
      </c>
      <c r="M11" s="7" t="s">
        <v>32</v>
      </c>
    </row>
    <row r="12" spans="1:13" ht="21" x14ac:dyDescent="0.5">
      <c r="A12" s="4" t="s">
        <v>13</v>
      </c>
      <c r="G12" s="8" t="s">
        <v>33</v>
      </c>
      <c r="H12" s="8" t="s">
        <v>34</v>
      </c>
      <c r="I12" s="8">
        <v>500</v>
      </c>
      <c r="J12" s="8"/>
      <c r="K12" s="8"/>
      <c r="L12" s="8"/>
      <c r="M12" s="8">
        <f>SUM(I12:L12)</f>
        <v>500</v>
      </c>
    </row>
    <row r="13" spans="1:13" ht="18.5" x14ac:dyDescent="0.45">
      <c r="B13" s="6"/>
      <c r="G13" s="8" t="s">
        <v>33</v>
      </c>
      <c r="H13" s="8" t="s">
        <v>34</v>
      </c>
      <c r="I13" s="8">
        <v>500</v>
      </c>
      <c r="J13" s="8">
        <v>300</v>
      </c>
      <c r="K13" s="8"/>
      <c r="L13" s="8"/>
      <c r="M13" s="8">
        <f>SUM(I13:L13)</f>
        <v>800</v>
      </c>
    </row>
    <row r="14" spans="1:13" ht="18.5" x14ac:dyDescent="0.45">
      <c r="B14" s="6"/>
      <c r="C14" s="6"/>
      <c r="D14" s="6"/>
      <c r="G14" s="7" t="s">
        <v>35</v>
      </c>
      <c r="H14" s="7" t="s">
        <v>36</v>
      </c>
      <c r="I14" s="7">
        <v>500</v>
      </c>
      <c r="J14" s="7"/>
      <c r="K14" s="7">
        <v>1000</v>
      </c>
      <c r="L14" s="7"/>
      <c r="M14" s="7">
        <f>SUM(I14:L14)</f>
        <v>1500</v>
      </c>
    </row>
    <row r="15" spans="1:13" ht="18.5" x14ac:dyDescent="0.45">
      <c r="A15" s="5">
        <v>1500</v>
      </c>
      <c r="B15" s="6" t="s">
        <v>15</v>
      </c>
      <c r="C15" s="6"/>
      <c r="D15" s="6"/>
      <c r="G15" s="7" t="s">
        <v>37</v>
      </c>
      <c r="H15" s="7" t="s">
        <v>36</v>
      </c>
      <c r="I15" s="7">
        <v>500</v>
      </c>
      <c r="J15" s="9">
        <v>300</v>
      </c>
      <c r="K15" s="7">
        <v>1000</v>
      </c>
      <c r="L15" s="7"/>
      <c r="M15" s="7">
        <f>SUM(I15:L15)</f>
        <v>1800</v>
      </c>
    </row>
    <row r="16" spans="1:13" ht="18.5" x14ac:dyDescent="0.45">
      <c r="A16" s="6"/>
      <c r="B16" s="6"/>
      <c r="C16" s="6"/>
      <c r="D16" s="6"/>
      <c r="G16" s="7" t="s">
        <v>38</v>
      </c>
      <c r="H16" s="7" t="s">
        <v>39</v>
      </c>
      <c r="I16" s="7">
        <v>500</v>
      </c>
      <c r="J16" s="9">
        <v>300</v>
      </c>
      <c r="K16" s="7">
        <v>1000</v>
      </c>
      <c r="L16" s="7"/>
      <c r="M16" s="7">
        <f>SUM(I16:L16)</f>
        <v>1800</v>
      </c>
    </row>
    <row r="17" spans="2:13" ht="18.5" x14ac:dyDescent="0.45">
      <c r="B17" s="6" t="s">
        <v>25</v>
      </c>
      <c r="G17" s="7" t="s">
        <v>40</v>
      </c>
      <c r="H17" s="7" t="s">
        <v>41</v>
      </c>
      <c r="I17" s="7">
        <v>500</v>
      </c>
      <c r="J17" s="7"/>
      <c r="K17" s="7"/>
      <c r="L17" s="7"/>
      <c r="M17" s="7">
        <f t="shared" ref="M17:M24" si="0">SUM(I17:L17)</f>
        <v>500</v>
      </c>
    </row>
    <row r="18" spans="2:13" ht="18.5" x14ac:dyDescent="0.45">
      <c r="B18" s="6" t="s">
        <v>23</v>
      </c>
      <c r="C18">
        <v>100</v>
      </c>
      <c r="G18" s="8" t="s">
        <v>42</v>
      </c>
      <c r="H18" s="8" t="s">
        <v>41</v>
      </c>
      <c r="I18" s="8">
        <v>500</v>
      </c>
      <c r="J18" s="8">
        <v>300</v>
      </c>
      <c r="K18" s="8">
        <v>1000</v>
      </c>
      <c r="L18" s="8">
        <v>800</v>
      </c>
      <c r="M18" s="8">
        <f t="shared" si="0"/>
        <v>2600</v>
      </c>
    </row>
    <row r="19" spans="2:13" ht="18.5" x14ac:dyDescent="0.45">
      <c r="B19" s="6" t="s">
        <v>24</v>
      </c>
      <c r="C19">
        <v>100</v>
      </c>
      <c r="G19" s="7" t="s">
        <v>43</v>
      </c>
      <c r="H19" s="7" t="s">
        <v>41</v>
      </c>
      <c r="I19" s="7"/>
      <c r="J19" s="7"/>
      <c r="K19" s="7"/>
      <c r="L19" s="7">
        <v>800</v>
      </c>
      <c r="M19" s="7">
        <f t="shared" si="0"/>
        <v>800</v>
      </c>
    </row>
    <row r="20" spans="2:13" x14ac:dyDescent="0.35">
      <c r="G20" s="7" t="s">
        <v>44</v>
      </c>
      <c r="H20" s="7" t="s">
        <v>45</v>
      </c>
      <c r="I20" s="7"/>
      <c r="J20" s="7"/>
      <c r="K20" s="7"/>
      <c r="L20" s="7">
        <v>500</v>
      </c>
      <c r="M20" s="7">
        <f t="shared" si="0"/>
        <v>500</v>
      </c>
    </row>
    <row r="21" spans="2:13" ht="18.5" x14ac:dyDescent="0.45">
      <c r="B21" s="6" t="s">
        <v>19</v>
      </c>
      <c r="G21" s="7" t="s">
        <v>46</v>
      </c>
      <c r="H21" s="7" t="s">
        <v>45</v>
      </c>
      <c r="I21" s="7"/>
      <c r="J21" s="7"/>
      <c r="K21" s="7"/>
      <c r="L21" s="7">
        <v>600</v>
      </c>
      <c r="M21" s="7">
        <f t="shared" si="0"/>
        <v>600</v>
      </c>
    </row>
    <row r="22" spans="2:13" ht="18.5" x14ac:dyDescent="0.45">
      <c r="B22" s="6" t="s">
        <v>20</v>
      </c>
      <c r="G22" s="7" t="s">
        <v>24</v>
      </c>
      <c r="H22" s="7" t="s">
        <v>47</v>
      </c>
      <c r="I22" s="10">
        <v>400</v>
      </c>
      <c r="J22" s="7"/>
      <c r="K22" s="7"/>
      <c r="L22" s="7"/>
      <c r="M22" s="7">
        <f t="shared" si="0"/>
        <v>400</v>
      </c>
    </row>
    <row r="23" spans="2:13" x14ac:dyDescent="0.35">
      <c r="G23" s="7" t="s">
        <v>48</v>
      </c>
      <c r="H23" s="7" t="s">
        <v>49</v>
      </c>
      <c r="I23" s="7">
        <v>500</v>
      </c>
      <c r="J23" s="7"/>
      <c r="K23" s="7"/>
      <c r="L23" s="7"/>
      <c r="M23" s="7">
        <f t="shared" si="0"/>
        <v>500</v>
      </c>
    </row>
    <row r="24" spans="2:13" x14ac:dyDescent="0.35">
      <c r="G24" s="7" t="s">
        <v>50</v>
      </c>
      <c r="H24" s="7" t="s">
        <v>51</v>
      </c>
      <c r="I24" s="7">
        <v>500</v>
      </c>
      <c r="J24" s="8">
        <v>300</v>
      </c>
      <c r="K24" s="7"/>
      <c r="L24" s="7">
        <v>800</v>
      </c>
      <c r="M24" s="7">
        <f t="shared" si="0"/>
        <v>1600</v>
      </c>
    </row>
    <row r="25" spans="2:13" x14ac:dyDescent="0.35">
      <c r="G25" s="42" t="s">
        <v>53</v>
      </c>
      <c r="H25" s="43"/>
      <c r="I25" s="43"/>
      <c r="J25" s="43"/>
      <c r="K25" s="43"/>
      <c r="L25" s="44"/>
      <c r="M25" s="7">
        <f>SUM(M12:M24)</f>
        <v>13900</v>
      </c>
    </row>
    <row r="27" spans="2:13" x14ac:dyDescent="0.35">
      <c r="H27" s="11"/>
      <c r="I27" t="s">
        <v>54</v>
      </c>
    </row>
    <row r="28" spans="2:13" x14ac:dyDescent="0.35">
      <c r="H28" s="12"/>
      <c r="I28" t="s">
        <v>55</v>
      </c>
    </row>
  </sheetData>
  <mergeCells count="4">
    <mergeCell ref="A1:B1"/>
    <mergeCell ref="C1:D1"/>
    <mergeCell ref="G10:I10"/>
    <mergeCell ref="G25:L25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8"/>
  <sheetViews>
    <sheetView rightToLeft="1" workbookViewId="0">
      <selection activeCell="C27" sqref="C27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2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13530</v>
      </c>
      <c r="C2" s="1" t="s">
        <v>4</v>
      </c>
      <c r="D2" s="1">
        <v>2000</v>
      </c>
    </row>
    <row r="3" spans="1:13" ht="15.5" x14ac:dyDescent="0.35">
      <c r="A3" s="1" t="s">
        <v>22</v>
      </c>
      <c r="B3" s="1">
        <v>200</v>
      </c>
      <c r="C3" s="1"/>
      <c r="D3" s="1"/>
    </row>
    <row r="4" spans="1:13" ht="15.5" x14ac:dyDescent="0.35">
      <c r="A4" s="1" t="s">
        <v>8</v>
      </c>
      <c r="B4" s="1">
        <v>4200</v>
      </c>
      <c r="C4" s="1" t="s">
        <v>9</v>
      </c>
      <c r="D4" s="1">
        <v>200</v>
      </c>
    </row>
    <row r="5" spans="1:13" ht="15.5" x14ac:dyDescent="0.35">
      <c r="A5" s="1"/>
      <c r="B5" s="1"/>
      <c r="C5" s="1"/>
      <c r="D5" s="1"/>
    </row>
    <row r="6" spans="1:13" ht="15.5" x14ac:dyDescent="0.35">
      <c r="A6" s="1"/>
      <c r="B6" s="1"/>
      <c r="C6" s="1"/>
      <c r="D6" s="1"/>
    </row>
    <row r="7" spans="1:13" ht="15.5" x14ac:dyDescent="0.35">
      <c r="A7" s="2" t="s">
        <v>53</v>
      </c>
      <c r="B7" s="2">
        <f>SUM(B2:B6)</f>
        <v>17930</v>
      </c>
      <c r="C7" s="2"/>
      <c r="D7" s="2">
        <f>SUM(D2:D6)</f>
        <v>2200</v>
      </c>
    </row>
    <row r="9" spans="1:13" ht="21" x14ac:dyDescent="0.5">
      <c r="B9" s="3" t="s">
        <v>12</v>
      </c>
      <c r="C9" s="3">
        <f>B7-D7</f>
        <v>15730</v>
      </c>
    </row>
    <row r="10" spans="1:13" ht="21" x14ac:dyDescent="0.5">
      <c r="B10" s="3" t="s">
        <v>14</v>
      </c>
      <c r="C10" s="3">
        <f>C9-1500</f>
        <v>14230</v>
      </c>
      <c r="G10" s="41" t="s">
        <v>52</v>
      </c>
      <c r="H10" s="41"/>
      <c r="I10" s="41"/>
    </row>
    <row r="11" spans="1:13" x14ac:dyDescent="0.35">
      <c r="G11" s="7" t="s">
        <v>26</v>
      </c>
      <c r="H11" s="7" t="s">
        <v>27</v>
      </c>
      <c r="I11" s="7" t="s">
        <v>28</v>
      </c>
      <c r="J11" s="7" t="s">
        <v>29</v>
      </c>
      <c r="K11" s="7" t="s">
        <v>30</v>
      </c>
      <c r="L11" s="7" t="s">
        <v>31</v>
      </c>
      <c r="M11" s="7" t="s">
        <v>32</v>
      </c>
    </row>
    <row r="12" spans="1:13" ht="21" x14ac:dyDescent="0.5">
      <c r="A12" s="4" t="s">
        <v>13</v>
      </c>
      <c r="G12" s="8" t="s">
        <v>33</v>
      </c>
      <c r="H12" s="8" t="s">
        <v>34</v>
      </c>
      <c r="I12" s="8">
        <v>500</v>
      </c>
      <c r="J12" s="8"/>
      <c r="K12" s="8"/>
      <c r="L12" s="8"/>
      <c r="M12" s="8">
        <f>SUM(I12:L12)</f>
        <v>500</v>
      </c>
    </row>
    <row r="13" spans="1:13" ht="18.5" x14ac:dyDescent="0.45">
      <c r="B13" s="6"/>
      <c r="G13" s="8" t="s">
        <v>33</v>
      </c>
      <c r="H13" s="8" t="s">
        <v>34</v>
      </c>
      <c r="I13" s="8">
        <v>500</v>
      </c>
      <c r="J13" s="8">
        <v>300</v>
      </c>
      <c r="K13" s="8"/>
      <c r="L13" s="8"/>
      <c r="M13" s="8">
        <f>SUM(I13:L13)</f>
        <v>800</v>
      </c>
    </row>
    <row r="14" spans="1:13" ht="18.5" x14ac:dyDescent="0.45">
      <c r="B14" s="6"/>
      <c r="C14" s="6"/>
      <c r="D14" s="6"/>
      <c r="G14" s="7" t="s">
        <v>35</v>
      </c>
      <c r="H14" s="7" t="s">
        <v>36</v>
      </c>
      <c r="I14" s="7">
        <v>500</v>
      </c>
      <c r="J14" s="7"/>
      <c r="K14" s="7">
        <v>1000</v>
      </c>
      <c r="L14" s="7"/>
      <c r="M14" s="7">
        <f>SUM(I14:L14)</f>
        <v>1500</v>
      </c>
    </row>
    <row r="15" spans="1:13" ht="18.5" x14ac:dyDescent="0.45">
      <c r="A15" s="5">
        <v>1500</v>
      </c>
      <c r="B15" s="6" t="s">
        <v>15</v>
      </c>
      <c r="C15" s="6"/>
      <c r="D15" s="6"/>
      <c r="G15" s="7" t="s">
        <v>37</v>
      </c>
      <c r="H15" s="7" t="s">
        <v>36</v>
      </c>
      <c r="I15" s="7">
        <v>500</v>
      </c>
      <c r="J15" s="9">
        <v>300</v>
      </c>
      <c r="K15" s="7">
        <v>1000</v>
      </c>
      <c r="L15" s="7"/>
      <c r="M15" s="7">
        <f>SUM(I15:L15)</f>
        <v>1800</v>
      </c>
    </row>
    <row r="16" spans="1:13" ht="18.5" x14ac:dyDescent="0.45">
      <c r="A16" s="6"/>
      <c r="B16" s="6"/>
      <c r="C16" s="6"/>
      <c r="D16" s="6"/>
      <c r="G16" s="7" t="s">
        <v>38</v>
      </c>
      <c r="H16" s="7" t="s">
        <v>39</v>
      </c>
      <c r="I16" s="7">
        <v>500</v>
      </c>
      <c r="J16" s="9">
        <v>300</v>
      </c>
      <c r="K16" s="7">
        <v>1000</v>
      </c>
      <c r="L16" s="7"/>
      <c r="M16" s="7">
        <f>SUM(I16:L16)</f>
        <v>1800</v>
      </c>
    </row>
    <row r="17" spans="2:13" ht="18.5" x14ac:dyDescent="0.45">
      <c r="B17" s="6" t="s">
        <v>25</v>
      </c>
      <c r="G17" s="7" t="s">
        <v>40</v>
      </c>
      <c r="H17" s="7" t="s">
        <v>41</v>
      </c>
      <c r="I17" s="7">
        <v>500</v>
      </c>
      <c r="J17" s="7"/>
      <c r="K17" s="7"/>
      <c r="L17" s="7"/>
      <c r="M17" s="7">
        <f t="shared" ref="M17:M24" si="0">SUM(I17:L17)</f>
        <v>500</v>
      </c>
    </row>
    <row r="18" spans="2:13" ht="18.5" x14ac:dyDescent="0.45">
      <c r="B18" s="6" t="s">
        <v>23</v>
      </c>
      <c r="C18">
        <v>100</v>
      </c>
      <c r="G18" s="8" t="s">
        <v>42</v>
      </c>
      <c r="H18" s="8" t="s">
        <v>41</v>
      </c>
      <c r="I18" s="8">
        <v>500</v>
      </c>
      <c r="J18" s="8">
        <v>300</v>
      </c>
      <c r="K18" s="8">
        <v>1000</v>
      </c>
      <c r="L18" s="8">
        <v>800</v>
      </c>
      <c r="M18" s="8">
        <f t="shared" si="0"/>
        <v>2600</v>
      </c>
    </row>
    <row r="19" spans="2:13" ht="18.5" x14ac:dyDescent="0.45">
      <c r="B19" s="6" t="s">
        <v>24</v>
      </c>
      <c r="C19">
        <v>100</v>
      </c>
      <c r="G19" s="7" t="s">
        <v>43</v>
      </c>
      <c r="H19" s="7" t="s">
        <v>41</v>
      </c>
      <c r="I19" s="7"/>
      <c r="J19" s="7"/>
      <c r="K19" s="7"/>
      <c r="L19" s="7">
        <v>800</v>
      </c>
      <c r="M19" s="7">
        <f t="shared" si="0"/>
        <v>800</v>
      </c>
    </row>
    <row r="20" spans="2:13" x14ac:dyDescent="0.35">
      <c r="G20" s="7" t="s">
        <v>44</v>
      </c>
      <c r="H20" s="7" t="s">
        <v>45</v>
      </c>
      <c r="I20" s="7"/>
      <c r="J20" s="7"/>
      <c r="K20" s="7"/>
      <c r="L20" s="7">
        <v>500</v>
      </c>
      <c r="M20" s="7">
        <f t="shared" si="0"/>
        <v>500</v>
      </c>
    </row>
    <row r="21" spans="2:13" ht="18.5" x14ac:dyDescent="0.45">
      <c r="B21" s="6" t="s">
        <v>19</v>
      </c>
      <c r="G21" s="7" t="s">
        <v>46</v>
      </c>
      <c r="H21" s="7" t="s">
        <v>45</v>
      </c>
      <c r="I21" s="7"/>
      <c r="J21" s="7"/>
      <c r="K21" s="7"/>
      <c r="L21" s="7">
        <v>500</v>
      </c>
      <c r="M21" s="7">
        <f t="shared" si="0"/>
        <v>500</v>
      </c>
    </row>
    <row r="22" spans="2:13" ht="18.5" x14ac:dyDescent="0.45">
      <c r="B22" s="6" t="s">
        <v>20</v>
      </c>
      <c r="G22" s="7" t="s">
        <v>24</v>
      </c>
      <c r="H22" s="7" t="s">
        <v>47</v>
      </c>
      <c r="I22" s="10">
        <v>300</v>
      </c>
      <c r="J22" s="7"/>
      <c r="K22" s="7"/>
      <c r="L22" s="7"/>
      <c r="M22" s="7">
        <f t="shared" si="0"/>
        <v>300</v>
      </c>
    </row>
    <row r="23" spans="2:13" x14ac:dyDescent="0.35">
      <c r="G23" s="7" t="s">
        <v>48</v>
      </c>
      <c r="H23" s="7" t="s">
        <v>49</v>
      </c>
      <c r="I23" s="7">
        <v>500</v>
      </c>
      <c r="J23" s="7"/>
      <c r="K23" s="7"/>
      <c r="L23" s="7"/>
      <c r="M23" s="7">
        <f t="shared" si="0"/>
        <v>500</v>
      </c>
    </row>
    <row r="24" spans="2:13" x14ac:dyDescent="0.35">
      <c r="G24" s="7" t="s">
        <v>50</v>
      </c>
      <c r="H24" s="7" t="s">
        <v>51</v>
      </c>
      <c r="I24" s="7">
        <v>500</v>
      </c>
      <c r="J24" s="8">
        <v>300</v>
      </c>
      <c r="K24" s="7"/>
      <c r="L24" s="7">
        <v>800</v>
      </c>
      <c r="M24" s="7">
        <f t="shared" si="0"/>
        <v>1600</v>
      </c>
    </row>
    <row r="25" spans="2:13" x14ac:dyDescent="0.35">
      <c r="G25" s="42" t="s">
        <v>53</v>
      </c>
      <c r="H25" s="43"/>
      <c r="I25" s="43"/>
      <c r="J25" s="43"/>
      <c r="K25" s="43"/>
      <c r="L25" s="44"/>
      <c r="M25" s="7">
        <f>SUM(M12:M24)</f>
        <v>13700</v>
      </c>
    </row>
    <row r="27" spans="2:13" x14ac:dyDescent="0.35">
      <c r="H27" s="11"/>
      <c r="I27" t="s">
        <v>54</v>
      </c>
    </row>
    <row r="28" spans="2:13" x14ac:dyDescent="0.35">
      <c r="H28" s="12"/>
      <c r="I28" t="s">
        <v>55</v>
      </c>
    </row>
  </sheetData>
  <mergeCells count="4">
    <mergeCell ref="A1:B1"/>
    <mergeCell ref="C1:D1"/>
    <mergeCell ref="G10:I10"/>
    <mergeCell ref="G25:L25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8"/>
  <sheetViews>
    <sheetView rightToLeft="1" workbookViewId="0">
      <selection activeCell="D3" sqref="D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15730</v>
      </c>
      <c r="C2" s="1" t="s">
        <v>4</v>
      </c>
      <c r="D2" s="1">
        <v>3000</v>
      </c>
    </row>
    <row r="3" spans="1:13" ht="15.5" x14ac:dyDescent="0.35">
      <c r="A3" s="1" t="s">
        <v>22</v>
      </c>
      <c r="B3" s="1">
        <v>200</v>
      </c>
      <c r="C3" s="1" t="s">
        <v>56</v>
      </c>
      <c r="D3" s="1">
        <v>400</v>
      </c>
    </row>
    <row r="4" spans="1:13" ht="15.5" x14ac:dyDescent="0.35">
      <c r="A4" s="1" t="s">
        <v>8</v>
      </c>
      <c r="B4" s="1">
        <v>4200</v>
      </c>
      <c r="C4" s="1" t="s">
        <v>9</v>
      </c>
      <c r="D4" s="1">
        <v>200</v>
      </c>
    </row>
    <row r="5" spans="1:13" ht="15.5" x14ac:dyDescent="0.35">
      <c r="A5" s="1"/>
      <c r="B5" s="1"/>
      <c r="C5" s="1" t="s">
        <v>58</v>
      </c>
      <c r="D5" s="1">
        <v>650</v>
      </c>
    </row>
    <row r="6" spans="1:13" ht="15.5" x14ac:dyDescent="0.35">
      <c r="A6" s="1"/>
      <c r="B6" s="1"/>
      <c r="C6" s="1" t="s">
        <v>57</v>
      </c>
      <c r="D6" s="1">
        <v>50</v>
      </c>
    </row>
    <row r="7" spans="1:13" ht="15.5" x14ac:dyDescent="0.35">
      <c r="A7" s="2" t="s">
        <v>53</v>
      </c>
      <c r="B7" s="2">
        <f>SUM(B2:B6)</f>
        <v>20130</v>
      </c>
      <c r="C7" s="2"/>
      <c r="D7" s="2">
        <f>SUM(D2:D6)</f>
        <v>4300</v>
      </c>
    </row>
    <row r="9" spans="1:13" ht="21" x14ac:dyDescent="0.5">
      <c r="B9" s="3" t="s">
        <v>12</v>
      </c>
      <c r="C9" s="3">
        <f>B7-D7</f>
        <v>15830</v>
      </c>
    </row>
    <row r="10" spans="1:13" ht="21" x14ac:dyDescent="0.5">
      <c r="B10" s="3" t="s">
        <v>14</v>
      </c>
      <c r="C10" s="3">
        <f>C9-1500</f>
        <v>14330</v>
      </c>
      <c r="G10" s="41" t="s">
        <v>52</v>
      </c>
      <c r="H10" s="41"/>
      <c r="I10" s="41"/>
    </row>
    <row r="11" spans="1:13" x14ac:dyDescent="0.35">
      <c r="G11" s="7" t="s">
        <v>26</v>
      </c>
      <c r="H11" s="7" t="s">
        <v>27</v>
      </c>
      <c r="I11" s="7" t="s">
        <v>28</v>
      </c>
      <c r="J11" s="7" t="s">
        <v>29</v>
      </c>
      <c r="K11" s="7" t="s">
        <v>30</v>
      </c>
      <c r="L11" s="7" t="s">
        <v>31</v>
      </c>
      <c r="M11" s="7" t="s">
        <v>32</v>
      </c>
    </row>
    <row r="12" spans="1:13" ht="21" x14ac:dyDescent="0.5">
      <c r="A12" s="4" t="s">
        <v>13</v>
      </c>
      <c r="G12" s="8" t="s">
        <v>33</v>
      </c>
      <c r="H12" s="8" t="s">
        <v>34</v>
      </c>
      <c r="I12" s="8">
        <v>500</v>
      </c>
      <c r="J12" s="8"/>
      <c r="K12" s="8"/>
      <c r="L12" s="8"/>
      <c r="M12" s="8">
        <f>SUM(I12:L12)</f>
        <v>500</v>
      </c>
    </row>
    <row r="13" spans="1:13" ht="18.5" x14ac:dyDescent="0.45">
      <c r="B13" s="6"/>
      <c r="G13" s="8" t="s">
        <v>33</v>
      </c>
      <c r="H13" s="8" t="s">
        <v>34</v>
      </c>
      <c r="I13" s="8">
        <v>500</v>
      </c>
      <c r="J13" s="8">
        <v>300</v>
      </c>
      <c r="K13" s="8"/>
      <c r="L13" s="8"/>
      <c r="M13" s="8">
        <f>SUM(I13:L13)</f>
        <v>800</v>
      </c>
    </row>
    <row r="14" spans="1:13" ht="18.5" x14ac:dyDescent="0.45">
      <c r="B14" s="6"/>
      <c r="C14" s="6"/>
      <c r="D14" s="6"/>
      <c r="G14" s="7" t="s">
        <v>35</v>
      </c>
      <c r="H14" s="7" t="s">
        <v>36</v>
      </c>
      <c r="I14" s="7">
        <v>500</v>
      </c>
      <c r="J14" s="7"/>
      <c r="K14" s="7">
        <v>1000</v>
      </c>
      <c r="L14" s="7"/>
      <c r="M14" s="7">
        <f>SUM(I14:L14)</f>
        <v>1500</v>
      </c>
    </row>
    <row r="15" spans="1:13" ht="18.5" x14ac:dyDescent="0.45">
      <c r="A15" s="5">
        <v>1500</v>
      </c>
      <c r="B15" s="6" t="s">
        <v>15</v>
      </c>
      <c r="C15" s="6"/>
      <c r="D15" s="6"/>
      <c r="G15" s="7" t="s">
        <v>37</v>
      </c>
      <c r="H15" s="7" t="s">
        <v>36</v>
      </c>
      <c r="I15" s="7">
        <v>500</v>
      </c>
      <c r="J15" s="9">
        <v>300</v>
      </c>
      <c r="K15" s="7">
        <v>1000</v>
      </c>
      <c r="L15" s="7"/>
      <c r="M15" s="7">
        <f>SUM(I15:L15)</f>
        <v>1800</v>
      </c>
    </row>
    <row r="16" spans="1:13" ht="18.5" x14ac:dyDescent="0.45">
      <c r="A16" s="6"/>
      <c r="B16" s="6"/>
      <c r="C16" s="6"/>
      <c r="D16" s="6"/>
      <c r="G16" s="7" t="s">
        <v>38</v>
      </c>
      <c r="H16" s="7" t="s">
        <v>39</v>
      </c>
      <c r="I16" s="7">
        <v>500</v>
      </c>
      <c r="J16" s="9">
        <v>300</v>
      </c>
      <c r="K16" s="7">
        <v>1000</v>
      </c>
      <c r="L16" s="7"/>
      <c r="M16" s="7">
        <f>SUM(I16:L16)</f>
        <v>1800</v>
      </c>
    </row>
    <row r="17" spans="1:13" ht="18.5" x14ac:dyDescent="0.45">
      <c r="B17" s="6" t="s">
        <v>25</v>
      </c>
      <c r="G17" s="7" t="s">
        <v>40</v>
      </c>
      <c r="H17" s="7" t="s">
        <v>41</v>
      </c>
      <c r="I17" s="7">
        <v>500</v>
      </c>
      <c r="J17" s="7"/>
      <c r="K17" s="7"/>
      <c r="L17" s="7"/>
      <c r="M17" s="7">
        <f t="shared" ref="M17:M24" si="0">SUM(I17:L17)</f>
        <v>500</v>
      </c>
    </row>
    <row r="18" spans="1:13" ht="18.5" x14ac:dyDescent="0.45">
      <c r="B18" s="6" t="s">
        <v>23</v>
      </c>
      <c r="C18">
        <v>100</v>
      </c>
      <c r="G18" s="8" t="s">
        <v>42</v>
      </c>
      <c r="H18" s="8" t="s">
        <v>41</v>
      </c>
      <c r="I18" s="8">
        <v>500</v>
      </c>
      <c r="J18" s="8">
        <v>300</v>
      </c>
      <c r="K18" s="8">
        <v>1000</v>
      </c>
      <c r="L18" s="8">
        <v>800</v>
      </c>
      <c r="M18" s="8">
        <f t="shared" si="0"/>
        <v>2600</v>
      </c>
    </row>
    <row r="19" spans="1:13" ht="18.5" x14ac:dyDescent="0.45">
      <c r="B19" s="6" t="s">
        <v>24</v>
      </c>
      <c r="C19">
        <v>100</v>
      </c>
      <c r="G19" s="7" t="s">
        <v>43</v>
      </c>
      <c r="H19" s="7" t="s">
        <v>41</v>
      </c>
      <c r="I19" s="7"/>
      <c r="J19" s="7"/>
      <c r="K19" s="7"/>
      <c r="L19" s="7">
        <v>800</v>
      </c>
      <c r="M19" s="7">
        <f t="shared" si="0"/>
        <v>800</v>
      </c>
    </row>
    <row r="20" spans="1:13" x14ac:dyDescent="0.35">
      <c r="G20" s="7" t="s">
        <v>44</v>
      </c>
      <c r="H20" s="7" t="s">
        <v>45</v>
      </c>
      <c r="I20" s="7"/>
      <c r="J20" s="7"/>
      <c r="K20" s="7"/>
      <c r="L20" s="7">
        <v>500</v>
      </c>
      <c r="M20" s="7">
        <f t="shared" si="0"/>
        <v>500</v>
      </c>
    </row>
    <row r="21" spans="1:13" ht="18.5" x14ac:dyDescent="0.45">
      <c r="B21" s="6" t="s">
        <v>19</v>
      </c>
      <c r="G21" s="7" t="s">
        <v>46</v>
      </c>
      <c r="H21" s="7" t="s">
        <v>45</v>
      </c>
      <c r="I21" s="7"/>
      <c r="J21" s="7"/>
      <c r="K21" s="7"/>
      <c r="L21" s="7">
        <v>400</v>
      </c>
      <c r="M21" s="7">
        <f t="shared" si="0"/>
        <v>400</v>
      </c>
    </row>
    <row r="22" spans="1:13" ht="18.5" x14ac:dyDescent="0.45">
      <c r="B22" s="6" t="s">
        <v>20</v>
      </c>
      <c r="G22" s="7" t="s">
        <v>24</v>
      </c>
      <c r="H22" s="7" t="s">
        <v>47</v>
      </c>
      <c r="I22" s="10">
        <v>200</v>
      </c>
      <c r="J22" s="7"/>
      <c r="K22" s="7"/>
      <c r="L22" s="7"/>
      <c r="M22" s="7">
        <f t="shared" si="0"/>
        <v>200</v>
      </c>
    </row>
    <row r="23" spans="1:13" x14ac:dyDescent="0.35">
      <c r="G23" s="7" t="s">
        <v>48</v>
      </c>
      <c r="H23" s="7" t="s">
        <v>49</v>
      </c>
      <c r="I23" s="7">
        <v>500</v>
      </c>
      <c r="J23" s="7"/>
      <c r="K23" s="7"/>
      <c r="L23" s="7"/>
      <c r="M23" s="7">
        <f t="shared" si="0"/>
        <v>500</v>
      </c>
    </row>
    <row r="24" spans="1:13" ht="18.5" x14ac:dyDescent="0.45">
      <c r="A24" s="13" t="s">
        <v>59</v>
      </c>
      <c r="G24" s="7" t="s">
        <v>50</v>
      </c>
      <c r="H24" s="7" t="s">
        <v>51</v>
      </c>
      <c r="I24" s="7">
        <v>500</v>
      </c>
      <c r="J24" s="8">
        <v>300</v>
      </c>
      <c r="K24" s="7"/>
      <c r="L24" s="7">
        <v>800</v>
      </c>
      <c r="M24" s="7">
        <f t="shared" si="0"/>
        <v>1600</v>
      </c>
    </row>
    <row r="25" spans="1:13" x14ac:dyDescent="0.35">
      <c r="G25" s="42" t="s">
        <v>53</v>
      </c>
      <c r="H25" s="43"/>
      <c r="I25" s="43"/>
      <c r="J25" s="43"/>
      <c r="K25" s="43"/>
      <c r="L25" s="44"/>
      <c r="M25" s="7">
        <f>SUM(M12:M24)</f>
        <v>13500</v>
      </c>
    </row>
    <row r="26" spans="1:13" ht="18.5" x14ac:dyDescent="0.45">
      <c r="A26" s="13" t="s">
        <v>60</v>
      </c>
    </row>
    <row r="27" spans="1:13" x14ac:dyDescent="0.35">
      <c r="H27" s="11"/>
      <c r="I27" t="s">
        <v>54</v>
      </c>
    </row>
    <row r="28" spans="1:13" x14ac:dyDescent="0.35">
      <c r="H28" s="12"/>
      <c r="I28" t="s">
        <v>55</v>
      </c>
    </row>
  </sheetData>
  <mergeCells count="4">
    <mergeCell ref="A1:B1"/>
    <mergeCell ref="C1:D1"/>
    <mergeCell ref="G10:I10"/>
    <mergeCell ref="G25:L25"/>
  </mergeCells>
  <pageMargins left="0.7" right="0.7" top="0.75" bottom="0.75" header="0.3" footer="0.3"/>
  <pageSetup paperSize="9" scale="9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28"/>
  <sheetViews>
    <sheetView rightToLeft="1" workbookViewId="0">
      <selection activeCell="B4" sqref="B4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15830</v>
      </c>
      <c r="C2" s="1" t="s">
        <v>4</v>
      </c>
      <c r="D2" s="1">
        <v>3000</v>
      </c>
    </row>
    <row r="3" spans="1:13" ht="15.5" x14ac:dyDescent="0.35">
      <c r="A3" s="1" t="s">
        <v>22</v>
      </c>
      <c r="B3" s="1">
        <v>300</v>
      </c>
      <c r="C3" s="1" t="s">
        <v>100</v>
      </c>
      <c r="D3" s="1">
        <v>300</v>
      </c>
    </row>
    <row r="4" spans="1:13" ht="15.5" x14ac:dyDescent="0.35">
      <c r="A4" s="1" t="s">
        <v>8</v>
      </c>
      <c r="B4" s="1">
        <v>4400</v>
      </c>
      <c r="C4" s="1" t="s">
        <v>9</v>
      </c>
      <c r="D4" s="1">
        <v>200</v>
      </c>
    </row>
    <row r="5" spans="1:13" ht="15.5" x14ac:dyDescent="0.35">
      <c r="A5" s="1"/>
      <c r="B5" s="1"/>
      <c r="C5" s="1" t="s">
        <v>101</v>
      </c>
      <c r="D5" s="1">
        <v>1975</v>
      </c>
    </row>
    <row r="6" spans="1:13" ht="15.5" x14ac:dyDescent="0.35">
      <c r="A6" s="1"/>
      <c r="B6" s="1"/>
      <c r="C6" s="1"/>
      <c r="D6" s="1"/>
    </row>
    <row r="7" spans="1:13" ht="15.5" x14ac:dyDescent="0.35">
      <c r="A7" s="2" t="s">
        <v>53</v>
      </c>
      <c r="B7" s="2">
        <f>SUM(B2:B6)</f>
        <v>20530</v>
      </c>
      <c r="C7" s="2"/>
      <c r="D7" s="2">
        <f>SUM(D2:D6)</f>
        <v>5475</v>
      </c>
    </row>
    <row r="9" spans="1:13" ht="21" x14ac:dyDescent="0.5">
      <c r="B9" s="3" t="s">
        <v>12</v>
      </c>
      <c r="C9" s="3">
        <f>B7-D7</f>
        <v>15055</v>
      </c>
    </row>
    <row r="10" spans="1:13" ht="21" x14ac:dyDescent="0.5">
      <c r="B10" s="3" t="s">
        <v>14</v>
      </c>
      <c r="C10" s="3">
        <f>C9-1500</f>
        <v>13555</v>
      </c>
      <c r="G10" s="41" t="s">
        <v>52</v>
      </c>
      <c r="H10" s="41"/>
      <c r="I10" s="41"/>
    </row>
    <row r="11" spans="1:13" x14ac:dyDescent="0.35">
      <c r="G11" s="7" t="s">
        <v>26</v>
      </c>
      <c r="H11" s="7" t="s">
        <v>27</v>
      </c>
      <c r="I11" s="7" t="s">
        <v>28</v>
      </c>
      <c r="J11" s="7" t="s">
        <v>29</v>
      </c>
      <c r="K11" s="7" t="s">
        <v>30</v>
      </c>
      <c r="L11" s="7" t="s">
        <v>31</v>
      </c>
      <c r="M11" s="7" t="s">
        <v>32</v>
      </c>
    </row>
    <row r="12" spans="1:13" ht="21" x14ac:dyDescent="0.5">
      <c r="A12" s="4" t="s">
        <v>13</v>
      </c>
      <c r="G12" s="8" t="s">
        <v>33</v>
      </c>
      <c r="H12" s="8" t="s">
        <v>34</v>
      </c>
      <c r="I12" s="8">
        <v>500</v>
      </c>
      <c r="J12" s="8"/>
      <c r="K12" s="8"/>
      <c r="L12" s="8"/>
      <c r="M12" s="8">
        <f>SUM(I12:L12)</f>
        <v>500</v>
      </c>
    </row>
    <row r="13" spans="1:13" ht="18.5" x14ac:dyDescent="0.45">
      <c r="B13" s="6"/>
      <c r="G13" s="8" t="s">
        <v>33</v>
      </c>
      <c r="H13" s="8" t="s">
        <v>34</v>
      </c>
      <c r="I13" s="8">
        <v>500</v>
      </c>
      <c r="J13" s="8">
        <v>300</v>
      </c>
      <c r="K13" s="8"/>
      <c r="L13" s="8"/>
      <c r="M13" s="8">
        <f>SUM(I13:L13)</f>
        <v>800</v>
      </c>
    </row>
    <row r="14" spans="1:13" ht="18.5" x14ac:dyDescent="0.45">
      <c r="B14" s="6"/>
      <c r="C14" s="6"/>
      <c r="D14" s="6"/>
      <c r="G14" s="7" t="s">
        <v>35</v>
      </c>
      <c r="H14" s="7" t="s">
        <v>36</v>
      </c>
      <c r="I14" s="7">
        <v>500</v>
      </c>
      <c r="J14" s="7"/>
      <c r="K14" s="7">
        <v>1000</v>
      </c>
      <c r="L14" s="7"/>
      <c r="M14" s="7">
        <f>SUM(I14:L14)</f>
        <v>1500</v>
      </c>
    </row>
    <row r="15" spans="1:13" ht="18.5" x14ac:dyDescent="0.45">
      <c r="A15" s="5">
        <v>1500</v>
      </c>
      <c r="B15" s="6" t="s">
        <v>15</v>
      </c>
      <c r="C15" s="6"/>
      <c r="D15" s="6"/>
      <c r="G15" s="7" t="s">
        <v>37</v>
      </c>
      <c r="H15" s="7" t="s">
        <v>36</v>
      </c>
      <c r="I15" s="7">
        <v>500</v>
      </c>
      <c r="J15" s="9">
        <v>300</v>
      </c>
      <c r="K15" s="7">
        <v>1000</v>
      </c>
      <c r="L15" s="7"/>
      <c r="M15" s="7">
        <f>SUM(I15:L15)</f>
        <v>1800</v>
      </c>
    </row>
    <row r="16" spans="1:13" ht="18.5" x14ac:dyDescent="0.45">
      <c r="A16" s="6"/>
      <c r="B16" s="6"/>
      <c r="C16" s="6"/>
      <c r="D16" s="6"/>
      <c r="G16" s="7" t="s">
        <v>38</v>
      </c>
      <c r="H16" s="7" t="s">
        <v>39</v>
      </c>
      <c r="I16" s="7">
        <v>500</v>
      </c>
      <c r="J16" s="9">
        <v>300</v>
      </c>
      <c r="K16" s="7">
        <v>1000</v>
      </c>
      <c r="L16" s="7"/>
      <c r="M16" s="7">
        <f>SUM(I16:L16)</f>
        <v>1800</v>
      </c>
    </row>
    <row r="17" spans="1:13" ht="18.5" x14ac:dyDescent="0.45">
      <c r="B17" s="6" t="s">
        <v>25</v>
      </c>
      <c r="G17" s="7" t="s">
        <v>40</v>
      </c>
      <c r="H17" s="7" t="s">
        <v>41</v>
      </c>
      <c r="I17" s="7">
        <v>500</v>
      </c>
      <c r="J17" s="7"/>
      <c r="K17" s="7"/>
      <c r="L17" s="7"/>
      <c r="M17" s="7">
        <f t="shared" ref="M17:M24" si="0">SUM(I17:L17)</f>
        <v>500</v>
      </c>
    </row>
    <row r="18" spans="1:13" ht="18.5" x14ac:dyDescent="0.45">
      <c r="B18" s="6" t="s">
        <v>23</v>
      </c>
      <c r="C18">
        <v>100</v>
      </c>
      <c r="G18" s="8" t="s">
        <v>42</v>
      </c>
      <c r="H18" s="8" t="s">
        <v>41</v>
      </c>
      <c r="I18" s="8">
        <v>500</v>
      </c>
      <c r="J18" s="8">
        <v>300</v>
      </c>
      <c r="K18" s="8">
        <v>1000</v>
      </c>
      <c r="L18" s="8">
        <v>800</v>
      </c>
      <c r="M18" s="8">
        <f t="shared" si="0"/>
        <v>2600</v>
      </c>
    </row>
    <row r="19" spans="1:13" ht="18.5" x14ac:dyDescent="0.45">
      <c r="B19" s="6" t="s">
        <v>24</v>
      </c>
      <c r="C19">
        <v>100</v>
      </c>
      <c r="G19" s="7" t="s">
        <v>43</v>
      </c>
      <c r="H19" s="7" t="s">
        <v>41</v>
      </c>
      <c r="I19" s="7"/>
      <c r="J19" s="7"/>
      <c r="K19" s="7"/>
      <c r="L19" s="7">
        <v>800</v>
      </c>
      <c r="M19" s="7">
        <f t="shared" si="0"/>
        <v>800</v>
      </c>
    </row>
    <row r="20" spans="1:13" ht="18.5" x14ac:dyDescent="0.45">
      <c r="B20" s="6" t="s">
        <v>103</v>
      </c>
      <c r="C20">
        <v>100</v>
      </c>
      <c r="G20" s="7" t="s">
        <v>44</v>
      </c>
      <c r="H20" s="7" t="s">
        <v>45</v>
      </c>
      <c r="I20" s="7"/>
      <c r="J20" s="7"/>
      <c r="K20" s="7"/>
      <c r="L20" s="7">
        <v>400</v>
      </c>
      <c r="M20" s="7">
        <f t="shared" si="0"/>
        <v>400</v>
      </c>
    </row>
    <row r="21" spans="1:13" ht="18.5" x14ac:dyDescent="0.45">
      <c r="B21" s="6" t="s">
        <v>102</v>
      </c>
      <c r="G21" s="7" t="s">
        <v>46</v>
      </c>
      <c r="H21" s="7" t="s">
        <v>45</v>
      </c>
      <c r="I21" s="7"/>
      <c r="J21" s="7"/>
      <c r="K21" s="7"/>
      <c r="L21" s="7">
        <v>300</v>
      </c>
      <c r="M21" s="7">
        <f t="shared" si="0"/>
        <v>300</v>
      </c>
    </row>
    <row r="22" spans="1:13" ht="18.5" x14ac:dyDescent="0.45">
      <c r="B22" s="6"/>
      <c r="G22" s="7" t="s">
        <v>24</v>
      </c>
      <c r="H22" s="7" t="s">
        <v>47</v>
      </c>
      <c r="I22" s="10">
        <v>100</v>
      </c>
      <c r="J22" s="7"/>
      <c r="K22" s="7"/>
      <c r="L22" s="7"/>
      <c r="M22" s="7">
        <f t="shared" si="0"/>
        <v>100</v>
      </c>
    </row>
    <row r="23" spans="1:13" x14ac:dyDescent="0.35">
      <c r="G23" s="7" t="s">
        <v>48</v>
      </c>
      <c r="H23" s="7" t="s">
        <v>49</v>
      </c>
      <c r="I23" s="7">
        <v>500</v>
      </c>
      <c r="J23" s="7"/>
      <c r="K23" s="7"/>
      <c r="L23" s="7"/>
      <c r="M23" s="7">
        <f t="shared" si="0"/>
        <v>500</v>
      </c>
    </row>
    <row r="24" spans="1:13" ht="18.5" x14ac:dyDescent="0.45">
      <c r="A24" s="13" t="s">
        <v>104</v>
      </c>
      <c r="G24" s="7" t="s">
        <v>50</v>
      </c>
      <c r="H24" s="7" t="s">
        <v>51</v>
      </c>
      <c r="I24" s="7">
        <v>500</v>
      </c>
      <c r="J24" s="8">
        <v>300</v>
      </c>
      <c r="K24" s="7"/>
      <c r="L24" s="7">
        <v>800</v>
      </c>
      <c r="M24" s="7">
        <f t="shared" si="0"/>
        <v>1600</v>
      </c>
    </row>
    <row r="25" spans="1:13" x14ac:dyDescent="0.35">
      <c r="G25" s="42" t="s">
        <v>53</v>
      </c>
      <c r="H25" s="43"/>
      <c r="I25" s="43"/>
      <c r="J25" s="43"/>
      <c r="K25" s="43"/>
      <c r="L25" s="44"/>
      <c r="M25" s="7">
        <f>SUM(M12:M24)</f>
        <v>13200</v>
      </c>
    </row>
    <row r="26" spans="1:13" ht="18.5" x14ac:dyDescent="0.45">
      <c r="A26" s="13" t="s">
        <v>105</v>
      </c>
    </row>
    <row r="27" spans="1:13" x14ac:dyDescent="0.35">
      <c r="H27" s="11"/>
      <c r="I27" t="s">
        <v>54</v>
      </c>
    </row>
    <row r="28" spans="1:13" x14ac:dyDescent="0.35">
      <c r="H28" s="12"/>
      <c r="I28" t="s">
        <v>55</v>
      </c>
    </row>
  </sheetData>
  <mergeCells count="4">
    <mergeCell ref="A1:B1"/>
    <mergeCell ref="C1:D1"/>
    <mergeCell ref="G10:I10"/>
    <mergeCell ref="G25:L25"/>
  </mergeCells>
  <pageMargins left="0.7" right="0.7" top="0.75" bottom="0.75" header="0.3" footer="0.3"/>
  <pageSetup paperSize="9" scale="9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28"/>
  <sheetViews>
    <sheetView rightToLeft="1" workbookViewId="0">
      <selection sqref="A1:B1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15055</v>
      </c>
      <c r="C2" s="1" t="s">
        <v>109</v>
      </c>
      <c r="D2" s="1">
        <v>3000</v>
      </c>
    </row>
    <row r="3" spans="1:13" ht="15.5" x14ac:dyDescent="0.35">
      <c r="A3" s="1" t="s">
        <v>22</v>
      </c>
      <c r="B3" s="1">
        <v>300</v>
      </c>
      <c r="C3" s="1" t="s">
        <v>106</v>
      </c>
      <c r="D3" s="1">
        <v>100</v>
      </c>
    </row>
    <row r="4" spans="1:13" ht="15.5" x14ac:dyDescent="0.35">
      <c r="A4" s="1" t="s">
        <v>8</v>
      </c>
      <c r="B4" s="1">
        <v>4200</v>
      </c>
      <c r="C4" s="1" t="s">
        <v>9</v>
      </c>
      <c r="D4" s="1">
        <v>200</v>
      </c>
    </row>
    <row r="5" spans="1:13" ht="15.5" x14ac:dyDescent="0.35">
      <c r="A5" s="1"/>
      <c r="B5" s="1"/>
      <c r="C5" s="1"/>
      <c r="D5" s="1"/>
    </row>
    <row r="6" spans="1:13" ht="15.5" x14ac:dyDescent="0.35">
      <c r="A6" s="1"/>
      <c r="B6" s="1"/>
      <c r="C6" s="1"/>
      <c r="D6" s="1"/>
    </row>
    <row r="7" spans="1:13" ht="15.5" x14ac:dyDescent="0.35">
      <c r="A7" s="2" t="s">
        <v>53</v>
      </c>
      <c r="B7" s="2">
        <f>SUM(B2:B6)</f>
        <v>19555</v>
      </c>
      <c r="C7" s="2"/>
      <c r="D7" s="2">
        <f>SUM(D2:D6)</f>
        <v>3300</v>
      </c>
    </row>
    <row r="9" spans="1:13" ht="21" x14ac:dyDescent="0.5">
      <c r="B9" s="3" t="s">
        <v>12</v>
      </c>
      <c r="C9" s="3">
        <f>B7-D7</f>
        <v>16255</v>
      </c>
    </row>
    <row r="10" spans="1:13" ht="21" x14ac:dyDescent="0.5">
      <c r="B10" s="3" t="s">
        <v>14</v>
      </c>
      <c r="C10" s="3">
        <f>C9-1500</f>
        <v>14755</v>
      </c>
      <c r="G10" s="41" t="s">
        <v>52</v>
      </c>
      <c r="H10" s="41"/>
      <c r="I10" s="41"/>
    </row>
    <row r="11" spans="1:13" x14ac:dyDescent="0.35">
      <c r="G11" s="7" t="s">
        <v>26</v>
      </c>
      <c r="H11" s="7" t="s">
        <v>27</v>
      </c>
      <c r="I11" s="7" t="s">
        <v>28</v>
      </c>
      <c r="J11" s="7" t="s">
        <v>29</v>
      </c>
      <c r="K11" s="7" t="s">
        <v>30</v>
      </c>
      <c r="L11" s="7" t="s">
        <v>31</v>
      </c>
      <c r="M11" s="7" t="s">
        <v>32</v>
      </c>
    </row>
    <row r="12" spans="1:13" ht="21" x14ac:dyDescent="0.5">
      <c r="A12" s="4" t="s">
        <v>13</v>
      </c>
      <c r="G12" s="8" t="s">
        <v>33</v>
      </c>
      <c r="H12" s="8" t="s">
        <v>34</v>
      </c>
      <c r="I12" s="8">
        <v>500</v>
      </c>
      <c r="J12" s="8"/>
      <c r="K12" s="8"/>
      <c r="L12" s="8"/>
      <c r="M12" s="8">
        <f>SUM(I12:L12)</f>
        <v>500</v>
      </c>
    </row>
    <row r="13" spans="1:13" ht="18.5" x14ac:dyDescent="0.45">
      <c r="B13" s="6"/>
      <c r="G13" s="8" t="s">
        <v>33</v>
      </c>
      <c r="H13" s="8" t="s">
        <v>34</v>
      </c>
      <c r="I13" s="8">
        <v>500</v>
      </c>
      <c r="J13" s="8">
        <v>300</v>
      </c>
      <c r="K13" s="8"/>
      <c r="L13" s="8"/>
      <c r="M13" s="8">
        <f>SUM(I13:L13)</f>
        <v>800</v>
      </c>
    </row>
    <row r="14" spans="1:13" ht="18.5" x14ac:dyDescent="0.45">
      <c r="B14" s="6"/>
      <c r="C14" s="6"/>
      <c r="D14" s="6"/>
      <c r="G14" s="7" t="s">
        <v>35</v>
      </c>
      <c r="H14" s="7" t="s">
        <v>36</v>
      </c>
      <c r="I14" s="7">
        <v>500</v>
      </c>
      <c r="J14" s="7"/>
      <c r="K14" s="7">
        <v>1000</v>
      </c>
      <c r="L14" s="7"/>
      <c r="M14" s="7">
        <f>SUM(I14:L14)</f>
        <v>1500</v>
      </c>
    </row>
    <row r="15" spans="1:13" ht="18.5" x14ac:dyDescent="0.45">
      <c r="A15" s="5">
        <v>1500</v>
      </c>
      <c r="B15" s="6" t="s">
        <v>15</v>
      </c>
      <c r="C15" s="6"/>
      <c r="D15" s="6"/>
      <c r="G15" s="7" t="s">
        <v>37</v>
      </c>
      <c r="H15" s="7" t="s">
        <v>36</v>
      </c>
      <c r="I15" s="7">
        <v>500</v>
      </c>
      <c r="J15" s="9">
        <v>300</v>
      </c>
      <c r="K15" s="7">
        <v>1000</v>
      </c>
      <c r="L15" s="7"/>
      <c r="M15" s="7">
        <f>SUM(I15:L15)</f>
        <v>1800</v>
      </c>
    </row>
    <row r="16" spans="1:13" ht="18.5" x14ac:dyDescent="0.45">
      <c r="A16" s="6"/>
      <c r="B16" s="6"/>
      <c r="C16" s="6"/>
      <c r="D16" s="6"/>
      <c r="G16" s="7" t="s">
        <v>38</v>
      </c>
      <c r="H16" s="7" t="s">
        <v>39</v>
      </c>
      <c r="I16" s="7">
        <v>500</v>
      </c>
      <c r="J16" s="9">
        <v>300</v>
      </c>
      <c r="K16" s="7">
        <v>1000</v>
      </c>
      <c r="L16" s="7"/>
      <c r="M16" s="7">
        <f>SUM(I16:L16)</f>
        <v>1800</v>
      </c>
    </row>
    <row r="17" spans="1:13" ht="18.5" x14ac:dyDescent="0.45">
      <c r="B17" s="6" t="s">
        <v>25</v>
      </c>
      <c r="G17" s="7" t="s">
        <v>40</v>
      </c>
      <c r="H17" s="7" t="s">
        <v>41</v>
      </c>
      <c r="I17" s="7">
        <v>500</v>
      </c>
      <c r="J17" s="7"/>
      <c r="K17" s="7"/>
      <c r="L17" s="7"/>
      <c r="M17" s="7">
        <f t="shared" ref="M17:M24" si="0">SUM(I17:L17)</f>
        <v>500</v>
      </c>
    </row>
    <row r="18" spans="1:13" ht="18.5" x14ac:dyDescent="0.45">
      <c r="B18" s="6" t="s">
        <v>23</v>
      </c>
      <c r="C18">
        <v>100</v>
      </c>
      <c r="G18" s="8" t="s">
        <v>42</v>
      </c>
      <c r="H18" s="8" t="s">
        <v>41</v>
      </c>
      <c r="I18" s="8">
        <v>500</v>
      </c>
      <c r="J18" s="8">
        <v>300</v>
      </c>
      <c r="K18" s="8">
        <v>1000</v>
      </c>
      <c r="L18" s="8">
        <v>800</v>
      </c>
      <c r="M18" s="8">
        <f t="shared" si="0"/>
        <v>2600</v>
      </c>
    </row>
    <row r="19" spans="1:13" ht="18.5" x14ac:dyDescent="0.45">
      <c r="B19" s="6" t="s">
        <v>24</v>
      </c>
      <c r="C19">
        <v>100</v>
      </c>
      <c r="G19" s="7" t="s">
        <v>43</v>
      </c>
      <c r="H19" s="7" t="s">
        <v>41</v>
      </c>
      <c r="I19" s="7"/>
      <c r="J19" s="7"/>
      <c r="K19" s="7"/>
      <c r="L19" s="7">
        <v>800</v>
      </c>
      <c r="M19" s="7">
        <f t="shared" si="0"/>
        <v>800</v>
      </c>
    </row>
    <row r="20" spans="1:13" ht="18.5" x14ac:dyDescent="0.45">
      <c r="B20" s="6" t="s">
        <v>48</v>
      </c>
      <c r="C20">
        <v>100</v>
      </c>
      <c r="G20" s="7" t="s">
        <v>44</v>
      </c>
      <c r="H20" s="7" t="s">
        <v>45</v>
      </c>
      <c r="I20" s="7"/>
      <c r="J20" s="7"/>
      <c r="K20" s="7"/>
      <c r="L20" s="7">
        <v>400</v>
      </c>
      <c r="M20" s="7">
        <f t="shared" si="0"/>
        <v>400</v>
      </c>
    </row>
    <row r="21" spans="1:13" ht="18.5" x14ac:dyDescent="0.45">
      <c r="B21" s="6" t="s">
        <v>19</v>
      </c>
      <c r="G21" s="7" t="s">
        <v>46</v>
      </c>
      <c r="H21" s="7" t="s">
        <v>45</v>
      </c>
      <c r="I21" s="7"/>
      <c r="J21" s="7"/>
      <c r="K21" s="7"/>
      <c r="L21" s="7">
        <v>200</v>
      </c>
      <c r="M21" s="7">
        <f t="shared" si="0"/>
        <v>200</v>
      </c>
    </row>
    <row r="22" spans="1:13" ht="18.5" x14ac:dyDescent="0.45">
      <c r="B22" s="6"/>
      <c r="G22" s="20" t="s">
        <v>24</v>
      </c>
      <c r="H22" s="20" t="s">
        <v>47</v>
      </c>
      <c r="I22" s="20">
        <v>0</v>
      </c>
      <c r="J22" s="45" t="s">
        <v>107</v>
      </c>
      <c r="K22" s="46"/>
      <c r="L22" s="20"/>
      <c r="M22" s="20">
        <f t="shared" si="0"/>
        <v>0</v>
      </c>
    </row>
    <row r="23" spans="1:13" x14ac:dyDescent="0.35">
      <c r="G23" s="7" t="s">
        <v>48</v>
      </c>
      <c r="H23" s="7" t="s">
        <v>49</v>
      </c>
      <c r="I23" s="7">
        <v>400</v>
      </c>
      <c r="J23" s="7"/>
      <c r="K23" s="7"/>
      <c r="L23" s="7"/>
      <c r="M23" s="7">
        <f t="shared" si="0"/>
        <v>400</v>
      </c>
    </row>
    <row r="24" spans="1:13" ht="18.5" x14ac:dyDescent="0.45">
      <c r="A24" s="13"/>
      <c r="G24" s="7" t="s">
        <v>50</v>
      </c>
      <c r="H24" s="7" t="s">
        <v>51</v>
      </c>
      <c r="I24" s="7">
        <v>500</v>
      </c>
      <c r="J24" s="8">
        <v>300</v>
      </c>
      <c r="K24" s="7"/>
      <c r="L24" s="7">
        <v>800</v>
      </c>
      <c r="M24" s="7">
        <f t="shared" si="0"/>
        <v>1600</v>
      </c>
    </row>
    <row r="25" spans="1:13" x14ac:dyDescent="0.35">
      <c r="G25" s="42" t="s">
        <v>53</v>
      </c>
      <c r="H25" s="43"/>
      <c r="I25" s="43"/>
      <c r="J25" s="43"/>
      <c r="K25" s="43"/>
      <c r="L25" s="44"/>
      <c r="M25" s="7">
        <f>SUM(M12:M24)</f>
        <v>12900</v>
      </c>
    </row>
    <row r="26" spans="1:13" ht="18.5" x14ac:dyDescent="0.45">
      <c r="A26" s="13"/>
    </row>
    <row r="27" spans="1:13" x14ac:dyDescent="0.35">
      <c r="H27" s="11"/>
      <c r="I27" t="s">
        <v>108</v>
      </c>
    </row>
    <row r="28" spans="1:13" x14ac:dyDescent="0.35">
      <c r="H28" s="12"/>
      <c r="I28" t="s">
        <v>55</v>
      </c>
    </row>
  </sheetData>
  <mergeCells count="5">
    <mergeCell ref="A1:B1"/>
    <mergeCell ref="C1:D1"/>
    <mergeCell ref="G10:I10"/>
    <mergeCell ref="G25:L25"/>
    <mergeCell ref="J22:K22"/>
  </mergeCells>
  <pageMargins left="0.7" right="0.7" top="0.75" bottom="0.75" header="0.3" footer="0.3"/>
  <pageSetup paperSize="9" scale="9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28"/>
  <sheetViews>
    <sheetView rightToLeft="1" workbookViewId="0">
      <selection sqref="A1:B1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16255</v>
      </c>
      <c r="C2" s="1" t="s">
        <v>109</v>
      </c>
      <c r="D2" s="1">
        <v>2000</v>
      </c>
    </row>
    <row r="3" spans="1:13" ht="15.5" x14ac:dyDescent="0.35">
      <c r="A3" s="1" t="s">
        <v>22</v>
      </c>
      <c r="B3" s="1">
        <v>200</v>
      </c>
      <c r="C3" s="1" t="s">
        <v>100</v>
      </c>
      <c r="D3" s="1">
        <v>200</v>
      </c>
    </row>
    <row r="4" spans="1:13" ht="15.5" x14ac:dyDescent="0.35">
      <c r="A4" s="1" t="s">
        <v>8</v>
      </c>
      <c r="B4" s="1">
        <v>4200</v>
      </c>
      <c r="C4" s="1" t="s">
        <v>9</v>
      </c>
      <c r="D4" s="1">
        <v>200</v>
      </c>
    </row>
    <row r="5" spans="1:13" ht="15.5" x14ac:dyDescent="0.35">
      <c r="A5" s="1"/>
      <c r="B5" s="1"/>
      <c r="C5" s="1"/>
      <c r="D5" s="1"/>
    </row>
    <row r="6" spans="1:13" ht="15.5" x14ac:dyDescent="0.35">
      <c r="A6" s="1"/>
      <c r="B6" s="1"/>
      <c r="C6" s="1"/>
      <c r="D6" s="1"/>
    </row>
    <row r="7" spans="1:13" ht="15.5" x14ac:dyDescent="0.35">
      <c r="A7" s="2" t="s">
        <v>53</v>
      </c>
      <c r="B7" s="2">
        <f>SUM(B2:B6)</f>
        <v>20655</v>
      </c>
      <c r="C7" s="2"/>
      <c r="D7" s="2">
        <f>SUM(D2:D6)</f>
        <v>2400</v>
      </c>
    </row>
    <row r="9" spans="1:13" ht="21" x14ac:dyDescent="0.5">
      <c r="B9" s="3" t="s">
        <v>12</v>
      </c>
      <c r="C9" s="3">
        <f>B7-D7</f>
        <v>18255</v>
      </c>
    </row>
    <row r="10" spans="1:13" ht="21" x14ac:dyDescent="0.5">
      <c r="B10" s="3" t="s">
        <v>14</v>
      </c>
      <c r="C10" s="3">
        <f>C9-1500</f>
        <v>16755</v>
      </c>
      <c r="G10" s="41" t="s">
        <v>52</v>
      </c>
      <c r="H10" s="41"/>
      <c r="I10" s="41"/>
    </row>
    <row r="11" spans="1:13" x14ac:dyDescent="0.35">
      <c r="G11" s="7" t="s">
        <v>26</v>
      </c>
      <c r="H11" s="7" t="s">
        <v>27</v>
      </c>
      <c r="I11" s="7" t="s">
        <v>28</v>
      </c>
      <c r="J11" s="7" t="s">
        <v>29</v>
      </c>
      <c r="K11" s="7" t="s">
        <v>30</v>
      </c>
      <c r="L11" s="7" t="s">
        <v>31</v>
      </c>
      <c r="M11" s="7" t="s">
        <v>32</v>
      </c>
    </row>
    <row r="12" spans="1:13" ht="21" x14ac:dyDescent="0.5">
      <c r="A12" s="4" t="s">
        <v>13</v>
      </c>
      <c r="G12" s="8" t="s">
        <v>33</v>
      </c>
      <c r="H12" s="8" t="s">
        <v>34</v>
      </c>
      <c r="I12" s="8">
        <v>500</v>
      </c>
      <c r="J12" s="8"/>
      <c r="K12" s="8"/>
      <c r="L12" s="8"/>
      <c r="M12" s="8">
        <f>SUM(I12:L12)</f>
        <v>500</v>
      </c>
    </row>
    <row r="13" spans="1:13" ht="18.5" x14ac:dyDescent="0.45">
      <c r="B13" s="6"/>
      <c r="G13" s="8" t="s">
        <v>33</v>
      </c>
      <c r="H13" s="8" t="s">
        <v>34</v>
      </c>
      <c r="I13" s="8">
        <v>500</v>
      </c>
      <c r="J13" s="8">
        <v>300</v>
      </c>
      <c r="K13" s="8"/>
      <c r="L13" s="8"/>
      <c r="M13" s="8">
        <f>SUM(I13:L13)</f>
        <v>800</v>
      </c>
    </row>
    <row r="14" spans="1:13" ht="18.5" x14ac:dyDescent="0.45">
      <c r="B14" s="6"/>
      <c r="C14" s="6"/>
      <c r="D14" s="6"/>
      <c r="G14" s="7" t="s">
        <v>35</v>
      </c>
      <c r="H14" s="7" t="s">
        <v>36</v>
      </c>
      <c r="I14" s="7">
        <v>500</v>
      </c>
      <c r="J14" s="7"/>
      <c r="K14" s="7">
        <v>1000</v>
      </c>
      <c r="L14" s="7"/>
      <c r="M14" s="7">
        <f>SUM(I14:L14)</f>
        <v>1500</v>
      </c>
    </row>
    <row r="15" spans="1:13" ht="18.5" x14ac:dyDescent="0.45">
      <c r="A15" s="5">
        <v>1500</v>
      </c>
      <c r="B15" s="6" t="s">
        <v>15</v>
      </c>
      <c r="C15" s="6"/>
      <c r="D15" s="6"/>
      <c r="G15" s="7" t="s">
        <v>37</v>
      </c>
      <c r="H15" s="7" t="s">
        <v>36</v>
      </c>
      <c r="I15" s="7">
        <v>500</v>
      </c>
      <c r="J15" s="9">
        <v>300</v>
      </c>
      <c r="K15" s="7">
        <v>1000</v>
      </c>
      <c r="L15" s="7"/>
      <c r="M15" s="7">
        <f>SUM(I15:L15)</f>
        <v>1800</v>
      </c>
    </row>
    <row r="16" spans="1:13" ht="18.5" x14ac:dyDescent="0.45">
      <c r="A16" s="6"/>
      <c r="B16" s="6"/>
      <c r="C16" s="6"/>
      <c r="D16" s="6"/>
      <c r="G16" s="7" t="s">
        <v>38</v>
      </c>
      <c r="H16" s="7" t="s">
        <v>39</v>
      </c>
      <c r="I16" s="7">
        <v>500</v>
      </c>
      <c r="J16" s="9">
        <v>300</v>
      </c>
      <c r="K16" s="7">
        <v>1000</v>
      </c>
      <c r="L16" s="7"/>
      <c r="M16" s="7">
        <f>SUM(I16:L16)</f>
        <v>1800</v>
      </c>
    </row>
    <row r="17" spans="1:13" ht="18.5" x14ac:dyDescent="0.45">
      <c r="B17" s="6" t="s">
        <v>110</v>
      </c>
      <c r="G17" s="7" t="s">
        <v>40</v>
      </c>
      <c r="H17" s="7" t="s">
        <v>41</v>
      </c>
      <c r="I17" s="7">
        <v>500</v>
      </c>
      <c r="J17" s="7"/>
      <c r="K17" s="7"/>
      <c r="L17" s="7"/>
      <c r="M17" s="7">
        <f t="shared" ref="M17:M24" si="0">SUM(I17:L17)</f>
        <v>500</v>
      </c>
    </row>
    <row r="18" spans="1:13" ht="18.5" x14ac:dyDescent="0.45">
      <c r="B18" s="6" t="s">
        <v>23</v>
      </c>
      <c r="C18">
        <v>100</v>
      </c>
      <c r="G18" s="8" t="s">
        <v>42</v>
      </c>
      <c r="H18" s="8" t="s">
        <v>41</v>
      </c>
      <c r="I18" s="8">
        <v>500</v>
      </c>
      <c r="J18" s="8">
        <v>300</v>
      </c>
      <c r="K18" s="8">
        <v>1000</v>
      </c>
      <c r="L18" s="8">
        <v>800</v>
      </c>
      <c r="M18" s="8">
        <f t="shared" si="0"/>
        <v>2600</v>
      </c>
    </row>
    <row r="19" spans="1:13" ht="18.5" x14ac:dyDescent="0.45">
      <c r="B19" s="6" t="s">
        <v>48</v>
      </c>
      <c r="C19">
        <v>100</v>
      </c>
      <c r="G19" s="7" t="s">
        <v>43</v>
      </c>
      <c r="H19" s="7" t="s">
        <v>41</v>
      </c>
      <c r="I19" s="7"/>
      <c r="J19" s="7"/>
      <c r="K19" s="7"/>
      <c r="L19" s="7">
        <v>800</v>
      </c>
      <c r="M19" s="7">
        <f t="shared" si="0"/>
        <v>800</v>
      </c>
    </row>
    <row r="20" spans="1:13" x14ac:dyDescent="0.35">
      <c r="G20" s="7" t="s">
        <v>44</v>
      </c>
      <c r="H20" s="7" t="s">
        <v>45</v>
      </c>
      <c r="I20" s="7"/>
      <c r="J20" s="7"/>
      <c r="K20" s="7"/>
      <c r="L20" s="7">
        <v>400</v>
      </c>
      <c r="M20" s="7">
        <f t="shared" si="0"/>
        <v>400</v>
      </c>
    </row>
    <row r="21" spans="1:13" ht="18.5" x14ac:dyDescent="0.45">
      <c r="B21" s="6" t="s">
        <v>19</v>
      </c>
      <c r="G21" s="7" t="s">
        <v>46</v>
      </c>
      <c r="H21" s="7" t="s">
        <v>45</v>
      </c>
      <c r="I21" s="7"/>
      <c r="J21" s="7"/>
      <c r="K21" s="7"/>
      <c r="L21" s="7">
        <v>100</v>
      </c>
      <c r="M21" s="7">
        <f t="shared" si="0"/>
        <v>100</v>
      </c>
    </row>
    <row r="22" spans="1:13" ht="18.5" x14ac:dyDescent="0.45">
      <c r="B22" s="6"/>
      <c r="G22" s="20" t="s">
        <v>24</v>
      </c>
      <c r="H22" s="20" t="s">
        <v>47</v>
      </c>
      <c r="I22" s="20">
        <v>0</v>
      </c>
      <c r="J22" s="45" t="s">
        <v>107</v>
      </c>
      <c r="K22" s="46"/>
      <c r="L22" s="20"/>
      <c r="M22" s="20">
        <f t="shared" si="0"/>
        <v>0</v>
      </c>
    </row>
    <row r="23" spans="1:13" x14ac:dyDescent="0.35">
      <c r="G23" s="7" t="s">
        <v>48</v>
      </c>
      <c r="H23" s="7" t="s">
        <v>49</v>
      </c>
      <c r="I23" s="7">
        <v>300</v>
      </c>
      <c r="J23" s="7"/>
      <c r="K23" s="7"/>
      <c r="L23" s="7"/>
      <c r="M23" s="7">
        <f t="shared" si="0"/>
        <v>300</v>
      </c>
    </row>
    <row r="24" spans="1:13" ht="18.5" x14ac:dyDescent="0.45">
      <c r="A24" s="13"/>
      <c r="G24" s="7" t="s">
        <v>50</v>
      </c>
      <c r="H24" s="7" t="s">
        <v>51</v>
      </c>
      <c r="I24" s="7">
        <v>500</v>
      </c>
      <c r="J24" s="8">
        <v>300</v>
      </c>
      <c r="K24" s="7"/>
      <c r="L24" s="7">
        <v>800</v>
      </c>
      <c r="M24" s="7">
        <f t="shared" si="0"/>
        <v>1600</v>
      </c>
    </row>
    <row r="25" spans="1:13" x14ac:dyDescent="0.35">
      <c r="G25" s="42" t="s">
        <v>53</v>
      </c>
      <c r="H25" s="43"/>
      <c r="I25" s="43"/>
      <c r="J25" s="43"/>
      <c r="K25" s="43"/>
      <c r="L25" s="44"/>
      <c r="M25" s="7">
        <f>SUM(M12:M24)</f>
        <v>12700</v>
      </c>
    </row>
    <row r="26" spans="1:13" ht="18.5" x14ac:dyDescent="0.45">
      <c r="A26" s="13"/>
    </row>
    <row r="27" spans="1:13" x14ac:dyDescent="0.35">
      <c r="H27" s="11"/>
      <c r="I27" t="s">
        <v>108</v>
      </c>
    </row>
    <row r="28" spans="1:13" x14ac:dyDescent="0.35">
      <c r="H28" s="12"/>
      <c r="I28" t="s">
        <v>55</v>
      </c>
    </row>
  </sheetData>
  <mergeCells count="5">
    <mergeCell ref="A1:B1"/>
    <mergeCell ref="C1:D1"/>
    <mergeCell ref="G10:I10"/>
    <mergeCell ref="J22:K22"/>
    <mergeCell ref="G25:L25"/>
  </mergeCells>
  <pageMargins left="0.7" right="0.7" top="0.75" bottom="0.75" header="0.3" footer="0.3"/>
  <pageSetup paperSize="9" scale="9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27"/>
  <sheetViews>
    <sheetView rightToLeft="1" workbookViewId="0">
      <selection sqref="A1:B1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18255</v>
      </c>
      <c r="C2" s="1" t="s">
        <v>109</v>
      </c>
      <c r="D2" s="1">
        <v>4000</v>
      </c>
    </row>
    <row r="3" spans="1:13" ht="15.5" x14ac:dyDescent="0.35">
      <c r="A3" s="1" t="s">
        <v>22</v>
      </c>
      <c r="B3" s="1">
        <v>100</v>
      </c>
      <c r="C3" s="1" t="s">
        <v>106</v>
      </c>
      <c r="D3" s="1">
        <v>120</v>
      </c>
    </row>
    <row r="4" spans="1:13" ht="15.5" x14ac:dyDescent="0.35">
      <c r="A4" s="1" t="s">
        <v>8</v>
      </c>
      <c r="B4" s="1">
        <v>4400</v>
      </c>
      <c r="C4" s="1" t="s">
        <v>9</v>
      </c>
      <c r="D4" s="1">
        <v>200</v>
      </c>
    </row>
    <row r="5" spans="1:13" ht="15.5" x14ac:dyDescent="0.35">
      <c r="A5" s="1"/>
      <c r="B5" s="1"/>
      <c r="C5" s="1"/>
      <c r="D5" s="1"/>
    </row>
    <row r="6" spans="1:13" ht="15.5" x14ac:dyDescent="0.35">
      <c r="A6" s="1"/>
      <c r="B6" s="1"/>
      <c r="C6" s="1"/>
      <c r="D6" s="1"/>
    </row>
    <row r="7" spans="1:13" ht="15.5" x14ac:dyDescent="0.35">
      <c r="A7" s="2" t="s">
        <v>53</v>
      </c>
      <c r="B7" s="2">
        <f>SUM(B2:B6)</f>
        <v>22755</v>
      </c>
      <c r="C7" s="2"/>
      <c r="D7" s="2">
        <f>SUM(D2:D6)</f>
        <v>4320</v>
      </c>
    </row>
    <row r="9" spans="1:13" ht="21" x14ac:dyDescent="0.5">
      <c r="B9" s="3" t="s">
        <v>12</v>
      </c>
      <c r="C9" s="3">
        <f>B7-D7</f>
        <v>18435</v>
      </c>
    </row>
    <row r="10" spans="1:13" ht="21" x14ac:dyDescent="0.5">
      <c r="B10" s="3" t="s">
        <v>14</v>
      </c>
      <c r="C10" s="3">
        <f>C9-1500</f>
        <v>16935</v>
      </c>
      <c r="G10" s="41" t="s">
        <v>52</v>
      </c>
      <c r="H10" s="41"/>
      <c r="I10" s="41"/>
    </row>
    <row r="11" spans="1:13" x14ac:dyDescent="0.35">
      <c r="G11" s="7" t="s">
        <v>26</v>
      </c>
      <c r="H11" s="7" t="s">
        <v>27</v>
      </c>
      <c r="I11" s="7" t="s">
        <v>28</v>
      </c>
      <c r="J11" s="7" t="s">
        <v>29</v>
      </c>
      <c r="K11" s="7" t="s">
        <v>30</v>
      </c>
      <c r="L11" s="7" t="s">
        <v>31</v>
      </c>
      <c r="M11" s="7" t="s">
        <v>32</v>
      </c>
    </row>
    <row r="12" spans="1:13" ht="21" x14ac:dyDescent="0.5">
      <c r="A12" s="4" t="s">
        <v>13</v>
      </c>
      <c r="G12" s="8" t="s">
        <v>33</v>
      </c>
      <c r="H12" s="8" t="s">
        <v>34</v>
      </c>
      <c r="I12" s="8">
        <v>500</v>
      </c>
      <c r="J12" s="8"/>
      <c r="K12" s="8"/>
      <c r="L12" s="8"/>
      <c r="M12" s="8">
        <f>SUM(I12:L12)</f>
        <v>500</v>
      </c>
    </row>
    <row r="13" spans="1:13" ht="18.5" x14ac:dyDescent="0.45">
      <c r="B13" s="6"/>
      <c r="G13" s="8" t="s">
        <v>33</v>
      </c>
      <c r="H13" s="8" t="s">
        <v>34</v>
      </c>
      <c r="I13" s="8">
        <v>500</v>
      </c>
      <c r="J13" s="8">
        <v>300</v>
      </c>
      <c r="K13" s="8"/>
      <c r="L13" s="8"/>
      <c r="M13" s="8">
        <f>SUM(I13:L13)</f>
        <v>800</v>
      </c>
    </row>
    <row r="14" spans="1:13" ht="18.5" x14ac:dyDescent="0.45">
      <c r="B14" s="6"/>
      <c r="C14" s="6"/>
      <c r="D14" s="6"/>
      <c r="G14" s="7" t="s">
        <v>35</v>
      </c>
      <c r="H14" s="7" t="s">
        <v>36</v>
      </c>
      <c r="I14" s="7">
        <v>500</v>
      </c>
      <c r="J14" s="7"/>
      <c r="K14" s="7">
        <v>1000</v>
      </c>
      <c r="L14" s="7"/>
      <c r="M14" s="7">
        <f>SUM(I14:L14)</f>
        <v>1500</v>
      </c>
    </row>
    <row r="15" spans="1:13" ht="18.5" x14ac:dyDescent="0.45">
      <c r="A15" s="5">
        <v>1500</v>
      </c>
      <c r="B15" s="6" t="s">
        <v>15</v>
      </c>
      <c r="C15" s="6"/>
      <c r="D15" s="6"/>
      <c r="G15" s="7" t="s">
        <v>37</v>
      </c>
      <c r="H15" s="7" t="s">
        <v>36</v>
      </c>
      <c r="I15" s="7">
        <v>500</v>
      </c>
      <c r="J15" s="9">
        <v>300</v>
      </c>
      <c r="K15" s="7">
        <v>1000</v>
      </c>
      <c r="L15" s="7"/>
      <c r="M15" s="7">
        <f>SUM(I15:L15)</f>
        <v>1800</v>
      </c>
    </row>
    <row r="16" spans="1:13" ht="18.5" x14ac:dyDescent="0.45">
      <c r="A16" s="6"/>
      <c r="B16" s="6"/>
      <c r="C16" s="6"/>
      <c r="D16" s="6"/>
      <c r="G16" s="7" t="s">
        <v>38</v>
      </c>
      <c r="H16" s="7" t="s">
        <v>39</v>
      </c>
      <c r="I16" s="7">
        <v>500</v>
      </c>
      <c r="J16" s="9">
        <v>300</v>
      </c>
      <c r="K16" s="7">
        <v>1000</v>
      </c>
      <c r="L16" s="7"/>
      <c r="M16" s="7">
        <f>SUM(I16:L16)</f>
        <v>1800</v>
      </c>
    </row>
    <row r="17" spans="1:13" ht="18.5" x14ac:dyDescent="0.45">
      <c r="B17" s="6" t="s">
        <v>110</v>
      </c>
      <c r="G17" s="7" t="s">
        <v>40</v>
      </c>
      <c r="H17" s="7" t="s">
        <v>41</v>
      </c>
      <c r="I17" s="7">
        <v>500</v>
      </c>
      <c r="J17" s="7"/>
      <c r="K17" s="7"/>
      <c r="L17" s="7"/>
      <c r="M17" s="7">
        <f t="shared" ref="M17:M23" si="0">SUM(I17:L17)</f>
        <v>500</v>
      </c>
    </row>
    <row r="18" spans="1:13" ht="18.5" x14ac:dyDescent="0.45">
      <c r="B18" s="6"/>
      <c r="G18" s="8" t="s">
        <v>42</v>
      </c>
      <c r="H18" s="8" t="s">
        <v>41</v>
      </c>
      <c r="I18" s="8">
        <v>500</v>
      </c>
      <c r="J18" s="8">
        <v>300</v>
      </c>
      <c r="K18" s="8">
        <v>1000</v>
      </c>
      <c r="L18" s="8">
        <v>800</v>
      </c>
      <c r="M18" s="8">
        <f t="shared" si="0"/>
        <v>2600</v>
      </c>
    </row>
    <row r="19" spans="1:13" ht="18.5" x14ac:dyDescent="0.45">
      <c r="B19" s="6" t="s">
        <v>48</v>
      </c>
      <c r="C19">
        <v>100</v>
      </c>
      <c r="G19" s="7" t="s">
        <v>43</v>
      </c>
      <c r="H19" s="7" t="s">
        <v>41</v>
      </c>
      <c r="I19" s="7"/>
      <c r="J19" s="7"/>
      <c r="K19" s="7"/>
      <c r="L19" s="7">
        <v>800</v>
      </c>
      <c r="M19" s="7">
        <f t="shared" si="0"/>
        <v>800</v>
      </c>
    </row>
    <row r="20" spans="1:13" x14ac:dyDescent="0.35">
      <c r="G20" s="7" t="s">
        <v>44</v>
      </c>
      <c r="H20" s="7" t="s">
        <v>45</v>
      </c>
      <c r="I20" s="7"/>
      <c r="J20" s="7"/>
      <c r="K20" s="7"/>
      <c r="L20" s="7">
        <v>400</v>
      </c>
      <c r="M20" s="7">
        <f t="shared" si="0"/>
        <v>400</v>
      </c>
    </row>
    <row r="21" spans="1:13" ht="18.5" x14ac:dyDescent="0.45">
      <c r="B21" s="6" t="s">
        <v>102</v>
      </c>
      <c r="G21" s="7" t="s">
        <v>46</v>
      </c>
      <c r="H21" s="7" t="s">
        <v>45</v>
      </c>
      <c r="I21" s="7"/>
      <c r="J21" s="7"/>
      <c r="K21" s="7"/>
      <c r="L21" s="7">
        <v>100</v>
      </c>
      <c r="M21" s="7">
        <f t="shared" si="0"/>
        <v>100</v>
      </c>
    </row>
    <row r="22" spans="1:13" ht="18.5" x14ac:dyDescent="0.45">
      <c r="B22" s="6"/>
      <c r="G22" s="7" t="s">
        <v>48</v>
      </c>
      <c r="H22" s="7" t="s">
        <v>49</v>
      </c>
      <c r="I22" s="7">
        <v>200</v>
      </c>
      <c r="J22" s="7"/>
      <c r="K22" s="7"/>
      <c r="L22" s="7"/>
      <c r="M22" s="7">
        <f t="shared" si="0"/>
        <v>200</v>
      </c>
    </row>
    <row r="23" spans="1:13" x14ac:dyDescent="0.35">
      <c r="G23" s="7" t="s">
        <v>50</v>
      </c>
      <c r="H23" s="7" t="s">
        <v>51</v>
      </c>
      <c r="I23" s="7">
        <v>500</v>
      </c>
      <c r="J23" s="8">
        <v>300</v>
      </c>
      <c r="K23" s="7"/>
      <c r="L23" s="7">
        <v>800</v>
      </c>
      <c r="M23" s="7">
        <f t="shared" si="0"/>
        <v>1600</v>
      </c>
    </row>
    <row r="24" spans="1:13" ht="18.5" x14ac:dyDescent="0.45">
      <c r="A24" s="13"/>
      <c r="G24" s="42" t="s">
        <v>53</v>
      </c>
      <c r="H24" s="43"/>
      <c r="I24" s="43"/>
      <c r="J24" s="43"/>
      <c r="K24" s="43"/>
      <c r="L24" s="44"/>
      <c r="M24" s="7">
        <f>SUM(M12:M23)</f>
        <v>12600</v>
      </c>
    </row>
    <row r="26" spans="1:13" ht="18.5" x14ac:dyDescent="0.45">
      <c r="A26" s="13"/>
      <c r="H26" s="11"/>
      <c r="I26" t="s">
        <v>108</v>
      </c>
    </row>
    <row r="27" spans="1:13" x14ac:dyDescent="0.35">
      <c r="H27" s="12"/>
      <c r="I27" t="s">
        <v>55</v>
      </c>
    </row>
  </sheetData>
  <mergeCells count="4">
    <mergeCell ref="A1:B1"/>
    <mergeCell ref="C1:D1"/>
    <mergeCell ref="G10:I10"/>
    <mergeCell ref="G24:L24"/>
  </mergeCells>
  <pageMargins left="0.7" right="0.7" top="0.75" bottom="0.75" header="0.3" footer="0.3"/>
  <pageSetup paperSize="9" scale="9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27"/>
  <sheetViews>
    <sheetView rightToLeft="1" workbookViewId="0">
      <selection sqref="A1:B1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18435</v>
      </c>
      <c r="C2" s="1" t="s">
        <v>109</v>
      </c>
      <c r="D2" s="1">
        <v>3000</v>
      </c>
    </row>
    <row r="3" spans="1:13" ht="15.5" x14ac:dyDescent="0.35">
      <c r="A3" s="1" t="s">
        <v>22</v>
      </c>
      <c r="B3" s="1">
        <v>200</v>
      </c>
      <c r="C3" s="1" t="s">
        <v>111</v>
      </c>
      <c r="D3" s="1">
        <v>300</v>
      </c>
    </row>
    <row r="4" spans="1:13" ht="15.5" x14ac:dyDescent="0.35">
      <c r="A4" s="1" t="s">
        <v>8</v>
      </c>
      <c r="B4" s="1">
        <v>4400</v>
      </c>
      <c r="C4" s="1" t="s">
        <v>9</v>
      </c>
      <c r="D4" s="1">
        <v>200</v>
      </c>
    </row>
    <row r="5" spans="1:13" ht="15.5" x14ac:dyDescent="0.35">
      <c r="A5" s="1"/>
      <c r="B5" s="1"/>
      <c r="C5" s="1"/>
      <c r="D5" s="1"/>
    </row>
    <row r="6" spans="1:13" ht="15.5" x14ac:dyDescent="0.35">
      <c r="A6" s="1"/>
      <c r="B6" s="1"/>
      <c r="C6" s="1"/>
      <c r="D6" s="1"/>
    </row>
    <row r="7" spans="1:13" ht="15.5" x14ac:dyDescent="0.35">
      <c r="A7" s="2" t="s">
        <v>53</v>
      </c>
      <c r="B7" s="2">
        <f>SUM(B2:B6)</f>
        <v>23035</v>
      </c>
      <c r="C7" s="2"/>
      <c r="D7" s="2">
        <f>SUM(D2:D6)</f>
        <v>3500</v>
      </c>
    </row>
    <row r="9" spans="1:13" ht="21" x14ac:dyDescent="0.5">
      <c r="B9" s="3" t="s">
        <v>12</v>
      </c>
      <c r="C9" s="3">
        <f>B7-D7</f>
        <v>19535</v>
      </c>
    </row>
    <row r="10" spans="1:13" ht="21" x14ac:dyDescent="0.5">
      <c r="B10" s="3" t="s">
        <v>14</v>
      </c>
      <c r="C10" s="3">
        <f>C9-1500</f>
        <v>18035</v>
      </c>
      <c r="G10" s="41" t="s">
        <v>52</v>
      </c>
      <c r="H10" s="41"/>
      <c r="I10" s="41"/>
    </row>
    <row r="11" spans="1:13" x14ac:dyDescent="0.35">
      <c r="G11" s="7" t="s">
        <v>26</v>
      </c>
      <c r="H11" s="7" t="s">
        <v>27</v>
      </c>
      <c r="I11" s="7" t="s">
        <v>28</v>
      </c>
      <c r="J11" s="7" t="s">
        <v>29</v>
      </c>
      <c r="K11" s="7" t="s">
        <v>30</v>
      </c>
      <c r="L11" s="7" t="s">
        <v>31</v>
      </c>
      <c r="M11" s="7" t="s">
        <v>32</v>
      </c>
    </row>
    <row r="12" spans="1:13" ht="21" x14ac:dyDescent="0.5">
      <c r="A12" s="4" t="s">
        <v>13</v>
      </c>
      <c r="G12" s="8" t="s">
        <v>33</v>
      </c>
      <c r="H12" s="8" t="s">
        <v>34</v>
      </c>
      <c r="I12" s="8">
        <v>500</v>
      </c>
      <c r="J12" s="8"/>
      <c r="K12" s="8"/>
      <c r="L12" s="8"/>
      <c r="M12" s="8">
        <f>SUM(I12:L12)</f>
        <v>500</v>
      </c>
    </row>
    <row r="13" spans="1:13" ht="18.5" x14ac:dyDescent="0.45">
      <c r="B13" s="6"/>
      <c r="G13" s="8" t="s">
        <v>33</v>
      </c>
      <c r="H13" s="8" t="s">
        <v>34</v>
      </c>
      <c r="I13" s="8">
        <v>500</v>
      </c>
      <c r="J13" s="8">
        <v>300</v>
      </c>
      <c r="K13" s="8"/>
      <c r="L13" s="8"/>
      <c r="M13" s="8">
        <f>SUM(I13:L13)</f>
        <v>800</v>
      </c>
    </row>
    <row r="14" spans="1:13" ht="18.5" x14ac:dyDescent="0.45">
      <c r="B14" s="6"/>
      <c r="C14" s="6"/>
      <c r="D14" s="6"/>
      <c r="G14" s="7" t="s">
        <v>35</v>
      </c>
      <c r="H14" s="7" t="s">
        <v>36</v>
      </c>
      <c r="I14" s="7">
        <v>500</v>
      </c>
      <c r="J14" s="7"/>
      <c r="K14" s="7">
        <v>1000</v>
      </c>
      <c r="L14" s="7"/>
      <c r="M14" s="7">
        <f>SUM(I14:L14)</f>
        <v>1500</v>
      </c>
    </row>
    <row r="15" spans="1:13" ht="18.5" x14ac:dyDescent="0.45">
      <c r="A15" s="5">
        <v>1500</v>
      </c>
      <c r="B15" s="6" t="s">
        <v>15</v>
      </c>
      <c r="C15" s="6"/>
      <c r="D15" s="6"/>
      <c r="G15" s="7" t="s">
        <v>37</v>
      </c>
      <c r="H15" s="7" t="s">
        <v>36</v>
      </c>
      <c r="I15" s="7">
        <v>500</v>
      </c>
      <c r="J15" s="9">
        <v>300</v>
      </c>
      <c r="K15" s="7">
        <v>1000</v>
      </c>
      <c r="L15" s="7"/>
      <c r="M15" s="7">
        <f>SUM(I15:L15)</f>
        <v>1800</v>
      </c>
    </row>
    <row r="16" spans="1:13" ht="18.5" x14ac:dyDescent="0.45">
      <c r="A16" s="6"/>
      <c r="B16" s="6"/>
      <c r="C16" s="6"/>
      <c r="D16" s="6"/>
      <c r="G16" s="7" t="s">
        <v>38</v>
      </c>
      <c r="H16" s="7" t="s">
        <v>39</v>
      </c>
      <c r="I16" s="7">
        <v>500</v>
      </c>
      <c r="J16" s="9">
        <v>300</v>
      </c>
      <c r="K16" s="7">
        <v>1000</v>
      </c>
      <c r="L16" s="7"/>
      <c r="M16" s="7">
        <f>SUM(I16:L16)</f>
        <v>1800</v>
      </c>
    </row>
    <row r="17" spans="1:13" ht="18.5" x14ac:dyDescent="0.45">
      <c r="B17" s="6" t="s">
        <v>110</v>
      </c>
      <c r="G17" s="7" t="s">
        <v>40</v>
      </c>
      <c r="H17" s="7" t="s">
        <v>41</v>
      </c>
      <c r="I17" s="7">
        <v>500</v>
      </c>
      <c r="J17" s="7"/>
      <c r="K17" s="7"/>
      <c r="L17" s="7"/>
      <c r="M17" s="7">
        <f t="shared" ref="M17:M23" si="0">SUM(I17:L17)</f>
        <v>500</v>
      </c>
    </row>
    <row r="18" spans="1:13" ht="18.5" x14ac:dyDescent="0.45">
      <c r="B18" s="6" t="s">
        <v>112</v>
      </c>
      <c r="C18">
        <v>100</v>
      </c>
      <c r="G18" s="8" t="s">
        <v>42</v>
      </c>
      <c r="H18" s="8" t="s">
        <v>41</v>
      </c>
      <c r="I18" s="8">
        <v>500</v>
      </c>
      <c r="J18" s="8">
        <v>300</v>
      </c>
      <c r="K18" s="8">
        <v>1000</v>
      </c>
      <c r="L18" s="8">
        <v>800</v>
      </c>
      <c r="M18" s="8">
        <f t="shared" si="0"/>
        <v>2600</v>
      </c>
    </row>
    <row r="19" spans="1:13" ht="18.5" x14ac:dyDescent="0.45">
      <c r="B19" s="6" t="s">
        <v>48</v>
      </c>
      <c r="C19">
        <v>100</v>
      </c>
      <c r="G19" s="7" t="s">
        <v>43</v>
      </c>
      <c r="H19" s="7" t="s">
        <v>41</v>
      </c>
      <c r="I19" s="7"/>
      <c r="J19" s="7"/>
      <c r="K19" s="7"/>
      <c r="L19" s="7">
        <v>800</v>
      </c>
      <c r="M19" s="7">
        <f t="shared" si="0"/>
        <v>800</v>
      </c>
    </row>
    <row r="20" spans="1:13" x14ac:dyDescent="0.35">
      <c r="G20" s="7" t="s">
        <v>44</v>
      </c>
      <c r="H20" s="7" t="s">
        <v>45</v>
      </c>
      <c r="I20" s="7"/>
      <c r="J20" s="7"/>
      <c r="K20" s="7"/>
      <c r="L20" s="7">
        <v>400</v>
      </c>
      <c r="M20" s="7">
        <f t="shared" si="0"/>
        <v>400</v>
      </c>
    </row>
    <row r="21" spans="1:13" ht="18.5" x14ac:dyDescent="0.45">
      <c r="B21" s="6" t="s">
        <v>102</v>
      </c>
      <c r="G21" s="20" t="s">
        <v>46</v>
      </c>
      <c r="H21" s="20" t="s">
        <v>45</v>
      </c>
      <c r="I21" s="45" t="s">
        <v>113</v>
      </c>
      <c r="J21" s="47"/>
      <c r="K21" s="47"/>
      <c r="L21" s="47"/>
      <c r="M21" s="46"/>
    </row>
    <row r="22" spans="1:13" ht="18.5" x14ac:dyDescent="0.45">
      <c r="B22" s="6"/>
      <c r="G22" s="7" t="s">
        <v>48</v>
      </c>
      <c r="H22" s="7" t="s">
        <v>49</v>
      </c>
      <c r="I22" s="7">
        <v>100</v>
      </c>
      <c r="J22" s="7"/>
      <c r="K22" s="7"/>
      <c r="L22" s="7"/>
      <c r="M22" s="7">
        <f t="shared" si="0"/>
        <v>100</v>
      </c>
    </row>
    <row r="23" spans="1:13" x14ac:dyDescent="0.35">
      <c r="G23" s="7" t="s">
        <v>50</v>
      </c>
      <c r="H23" s="7" t="s">
        <v>51</v>
      </c>
      <c r="I23" s="7">
        <v>500</v>
      </c>
      <c r="J23" s="8">
        <v>300</v>
      </c>
      <c r="K23" s="7"/>
      <c r="L23" s="7">
        <v>800</v>
      </c>
      <c r="M23" s="7">
        <f t="shared" si="0"/>
        <v>1600</v>
      </c>
    </row>
    <row r="24" spans="1:13" ht="18.5" x14ac:dyDescent="0.45">
      <c r="A24" s="13"/>
      <c r="G24" s="42" t="s">
        <v>53</v>
      </c>
      <c r="H24" s="43"/>
      <c r="I24" s="43"/>
      <c r="J24" s="43"/>
      <c r="K24" s="43"/>
      <c r="L24" s="44"/>
      <c r="M24" s="7">
        <f>SUM(M12:M23)</f>
        <v>12400</v>
      </c>
    </row>
    <row r="26" spans="1:13" ht="18.5" x14ac:dyDescent="0.45">
      <c r="A26" s="13"/>
      <c r="H26" s="11"/>
      <c r="I26" t="s">
        <v>108</v>
      </c>
    </row>
    <row r="27" spans="1:13" x14ac:dyDescent="0.35">
      <c r="H27" s="12"/>
      <c r="I27" t="s">
        <v>55</v>
      </c>
    </row>
  </sheetData>
  <mergeCells count="5">
    <mergeCell ref="A1:B1"/>
    <mergeCell ref="C1:D1"/>
    <mergeCell ref="G10:I10"/>
    <mergeCell ref="G24:L24"/>
    <mergeCell ref="I21:M21"/>
  </mergeCells>
  <pageMargins left="0.7" right="0.7" top="0.75" bottom="0.75" header="0.3" footer="0.3"/>
  <pageSetup paperSize="9" scale="9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26"/>
  <sheetViews>
    <sheetView rightToLeft="1" workbookViewId="0">
      <selection sqref="A1:B1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19535</v>
      </c>
      <c r="C2" s="1" t="s">
        <v>109</v>
      </c>
      <c r="D2" s="1">
        <v>3000</v>
      </c>
    </row>
    <row r="3" spans="1:13" ht="15.5" x14ac:dyDescent="0.35">
      <c r="A3" s="1" t="s">
        <v>22</v>
      </c>
      <c r="B3" s="1">
        <v>1600</v>
      </c>
      <c r="C3" s="1" t="s">
        <v>114</v>
      </c>
      <c r="D3" s="1">
        <v>1550</v>
      </c>
    </row>
    <row r="4" spans="1:13" ht="15.5" x14ac:dyDescent="0.35">
      <c r="A4" s="1" t="s">
        <v>8</v>
      </c>
      <c r="B4" s="1">
        <v>4600</v>
      </c>
      <c r="C4" s="1" t="s">
        <v>9</v>
      </c>
      <c r="D4" s="1">
        <v>200</v>
      </c>
    </row>
    <row r="5" spans="1:13" ht="15.5" x14ac:dyDescent="0.35">
      <c r="A5" s="1"/>
      <c r="B5" s="1"/>
      <c r="C5" s="1" t="s">
        <v>115</v>
      </c>
      <c r="D5" s="1">
        <v>500</v>
      </c>
    </row>
    <row r="6" spans="1:13" ht="15.5" x14ac:dyDescent="0.35">
      <c r="A6" s="1"/>
      <c r="B6" s="1"/>
      <c r="C6" s="1" t="s">
        <v>100</v>
      </c>
      <c r="D6" s="1">
        <v>100</v>
      </c>
    </row>
    <row r="7" spans="1:13" ht="15.5" x14ac:dyDescent="0.35">
      <c r="A7" s="2" t="s">
        <v>53</v>
      </c>
      <c r="B7" s="2">
        <f>SUM(B2:B6)</f>
        <v>25735</v>
      </c>
      <c r="C7" s="2"/>
      <c r="D7" s="2">
        <f>SUM(D2:D6)</f>
        <v>5350</v>
      </c>
    </row>
    <row r="9" spans="1:13" ht="21" x14ac:dyDescent="0.5">
      <c r="B9" s="3" t="s">
        <v>12</v>
      </c>
      <c r="C9" s="3">
        <f>B7-D7</f>
        <v>20385</v>
      </c>
    </row>
    <row r="10" spans="1:13" ht="21" x14ac:dyDescent="0.5">
      <c r="B10" s="3" t="s">
        <v>14</v>
      </c>
      <c r="C10" s="3">
        <f>C9-1500</f>
        <v>18885</v>
      </c>
      <c r="G10" s="41" t="s">
        <v>52</v>
      </c>
      <c r="H10" s="41"/>
      <c r="I10" s="41"/>
    </row>
    <row r="11" spans="1:13" x14ac:dyDescent="0.35">
      <c r="G11" s="7" t="s">
        <v>26</v>
      </c>
      <c r="H11" s="7" t="s">
        <v>27</v>
      </c>
      <c r="I11" s="7" t="s">
        <v>28</v>
      </c>
      <c r="J11" s="7" t="s">
        <v>29</v>
      </c>
      <c r="K11" s="7" t="s">
        <v>30</v>
      </c>
      <c r="L11" s="7" t="s">
        <v>31</v>
      </c>
      <c r="M11" s="7" t="s">
        <v>32</v>
      </c>
    </row>
    <row r="12" spans="1:13" ht="21" x14ac:dyDescent="0.5">
      <c r="A12" s="4" t="s">
        <v>13</v>
      </c>
      <c r="G12" s="8" t="s">
        <v>33</v>
      </c>
      <c r="H12" s="8" t="s">
        <v>34</v>
      </c>
      <c r="I12" s="8">
        <v>500</v>
      </c>
      <c r="J12" s="8"/>
      <c r="K12" s="8"/>
      <c r="L12" s="8"/>
      <c r="M12" s="8">
        <f>SUM(I12:L12)</f>
        <v>500</v>
      </c>
    </row>
    <row r="13" spans="1:13" ht="18.5" x14ac:dyDescent="0.45">
      <c r="B13" s="6"/>
      <c r="G13" s="8" t="s">
        <v>33</v>
      </c>
      <c r="H13" s="8" t="s">
        <v>34</v>
      </c>
      <c r="I13" s="8">
        <v>500</v>
      </c>
      <c r="J13" s="8">
        <v>300</v>
      </c>
      <c r="K13" s="8"/>
      <c r="L13" s="8"/>
      <c r="M13" s="8">
        <f>SUM(I13:L13)</f>
        <v>800</v>
      </c>
    </row>
    <row r="14" spans="1:13" ht="18.5" x14ac:dyDescent="0.45">
      <c r="B14" s="6"/>
      <c r="C14" s="6"/>
      <c r="D14" s="6"/>
      <c r="G14" s="7" t="s">
        <v>35</v>
      </c>
      <c r="H14" s="7" t="s">
        <v>36</v>
      </c>
      <c r="I14" s="7"/>
      <c r="J14" s="7"/>
      <c r="K14" s="7">
        <v>900</v>
      </c>
      <c r="L14" s="7"/>
      <c r="M14" s="7">
        <f>SUM(I14:L14)</f>
        <v>900</v>
      </c>
    </row>
    <row r="15" spans="1:13" ht="18.5" x14ac:dyDescent="0.45">
      <c r="A15" s="5">
        <v>1500</v>
      </c>
      <c r="B15" s="6" t="s">
        <v>15</v>
      </c>
      <c r="C15" s="6"/>
      <c r="D15" s="6"/>
      <c r="G15" s="7" t="s">
        <v>37</v>
      </c>
      <c r="H15" s="7" t="s">
        <v>36</v>
      </c>
      <c r="I15" s="7">
        <v>500</v>
      </c>
      <c r="J15" s="10">
        <v>300</v>
      </c>
      <c r="K15" s="7">
        <v>1000</v>
      </c>
      <c r="L15" s="7"/>
      <c r="M15" s="7">
        <f>SUM(I15:L15)</f>
        <v>1800</v>
      </c>
    </row>
    <row r="16" spans="1:13" ht="18.5" x14ac:dyDescent="0.45">
      <c r="A16" s="6"/>
      <c r="B16" s="6"/>
      <c r="C16" s="6"/>
      <c r="D16" s="6"/>
      <c r="G16" s="7" t="s">
        <v>38</v>
      </c>
      <c r="H16" s="7" t="s">
        <v>39</v>
      </c>
      <c r="I16" s="7"/>
      <c r="J16" s="10"/>
      <c r="K16" s="7">
        <v>1000</v>
      </c>
      <c r="L16" s="7"/>
      <c r="M16" s="7">
        <f>SUM(I16:L16)</f>
        <v>1000</v>
      </c>
    </row>
    <row r="17" spans="1:13" ht="18.5" x14ac:dyDescent="0.45">
      <c r="B17" s="6" t="s">
        <v>110</v>
      </c>
      <c r="G17" s="7" t="s">
        <v>40</v>
      </c>
      <c r="H17" s="7" t="s">
        <v>41</v>
      </c>
      <c r="I17" s="7">
        <v>500</v>
      </c>
      <c r="J17" s="7"/>
      <c r="K17" s="7"/>
      <c r="L17" s="7"/>
      <c r="M17" s="7">
        <f t="shared" ref="M17:M22" si="0">SUM(I17:L17)</f>
        <v>500</v>
      </c>
    </row>
    <row r="18" spans="1:13" ht="18.5" x14ac:dyDescent="0.45">
      <c r="B18" s="6" t="s">
        <v>103</v>
      </c>
      <c r="C18">
        <v>100</v>
      </c>
      <c r="G18" s="8" t="s">
        <v>42</v>
      </c>
      <c r="H18" s="8" t="s">
        <v>41</v>
      </c>
      <c r="I18" s="8">
        <v>500</v>
      </c>
      <c r="J18" s="8">
        <v>300</v>
      </c>
      <c r="K18" s="8">
        <v>1000</v>
      </c>
      <c r="L18" s="8">
        <v>800</v>
      </c>
      <c r="M18" s="8">
        <f t="shared" si="0"/>
        <v>2600</v>
      </c>
    </row>
    <row r="19" spans="1:13" ht="18.5" x14ac:dyDescent="0.45">
      <c r="B19" s="6" t="s">
        <v>48</v>
      </c>
      <c r="C19">
        <v>100</v>
      </c>
      <c r="G19" s="7" t="s">
        <v>43</v>
      </c>
      <c r="H19" s="7" t="s">
        <v>41</v>
      </c>
      <c r="I19" s="7"/>
      <c r="J19" s="7"/>
      <c r="K19" s="7"/>
      <c r="L19" s="7">
        <v>800</v>
      </c>
      <c r="M19" s="7">
        <f t="shared" si="0"/>
        <v>800</v>
      </c>
    </row>
    <row r="20" spans="1:13" ht="18.5" x14ac:dyDescent="0.45">
      <c r="B20" s="6" t="s">
        <v>35</v>
      </c>
      <c r="C20">
        <v>600</v>
      </c>
      <c r="G20" s="7" t="s">
        <v>44</v>
      </c>
      <c r="H20" s="7" t="s">
        <v>45</v>
      </c>
      <c r="I20" s="7"/>
      <c r="J20" s="7"/>
      <c r="K20" s="7"/>
      <c r="L20" s="7">
        <v>300</v>
      </c>
      <c r="M20" s="7">
        <f t="shared" si="0"/>
        <v>300</v>
      </c>
    </row>
    <row r="21" spans="1:13" ht="18.5" x14ac:dyDescent="0.45">
      <c r="B21" s="6" t="s">
        <v>116</v>
      </c>
      <c r="C21">
        <v>800</v>
      </c>
      <c r="G21" s="21" t="s">
        <v>48</v>
      </c>
      <c r="H21" s="21" t="s">
        <v>49</v>
      </c>
      <c r="I21" s="45" t="s">
        <v>113</v>
      </c>
      <c r="J21" s="47"/>
      <c r="K21" s="47"/>
      <c r="L21" s="47"/>
      <c r="M21" s="46"/>
    </row>
    <row r="22" spans="1:13" ht="18.5" x14ac:dyDescent="0.45">
      <c r="B22" s="6" t="s">
        <v>117</v>
      </c>
      <c r="G22" s="7" t="s">
        <v>50</v>
      </c>
      <c r="H22" s="7" t="s">
        <v>51</v>
      </c>
      <c r="I22" s="7">
        <v>500</v>
      </c>
      <c r="J22" s="10">
        <v>300</v>
      </c>
      <c r="K22" s="7"/>
      <c r="L22" s="7">
        <v>800</v>
      </c>
      <c r="M22" s="7">
        <f t="shared" si="0"/>
        <v>1600</v>
      </c>
    </row>
    <row r="23" spans="1:13" ht="18.5" x14ac:dyDescent="0.45">
      <c r="B23" s="6"/>
      <c r="G23" s="42" t="s">
        <v>53</v>
      </c>
      <c r="H23" s="43"/>
      <c r="I23" s="43"/>
      <c r="J23" s="43"/>
      <c r="K23" s="43"/>
      <c r="L23" s="44"/>
      <c r="M23" s="7">
        <f>SUM(M12:M22)</f>
        <v>10800</v>
      </c>
    </row>
    <row r="24" spans="1:13" ht="18.5" x14ac:dyDescent="0.45">
      <c r="A24" s="13"/>
    </row>
    <row r="25" spans="1:13" x14ac:dyDescent="0.35">
      <c r="H25" s="11"/>
      <c r="I25" t="s">
        <v>108</v>
      </c>
    </row>
    <row r="26" spans="1:13" ht="18.5" x14ac:dyDescent="0.45">
      <c r="A26" s="13"/>
    </row>
  </sheetData>
  <mergeCells count="5">
    <mergeCell ref="A1:B1"/>
    <mergeCell ref="C1:D1"/>
    <mergeCell ref="G10:I10"/>
    <mergeCell ref="I21:M21"/>
    <mergeCell ref="G23:L23"/>
  </mergeCells>
  <pageMargins left="0.7" right="0.7" top="0.75" bottom="0.75" header="0.3" footer="0.3"/>
  <pageSetup paperSize="9" scale="9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26"/>
  <sheetViews>
    <sheetView rightToLeft="1" workbookViewId="0">
      <selection sqref="A1:B1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20385</v>
      </c>
      <c r="C2" s="1" t="s">
        <v>109</v>
      </c>
      <c r="D2" s="1">
        <v>3000</v>
      </c>
    </row>
    <row r="3" spans="1:13" ht="15.5" x14ac:dyDescent="0.35">
      <c r="A3" s="1"/>
      <c r="B3" s="1"/>
      <c r="C3" s="1" t="s">
        <v>114</v>
      </c>
      <c r="D3" s="1">
        <v>1050</v>
      </c>
    </row>
    <row r="4" spans="1:13" ht="15.5" x14ac:dyDescent="0.35">
      <c r="A4" s="1" t="s">
        <v>8</v>
      </c>
      <c r="B4" s="1">
        <v>4200</v>
      </c>
      <c r="C4" s="1" t="s">
        <v>9</v>
      </c>
      <c r="D4" s="1">
        <v>400</v>
      </c>
    </row>
    <row r="5" spans="1:13" ht="15.5" x14ac:dyDescent="0.35">
      <c r="A5" s="1"/>
      <c r="B5" s="1"/>
      <c r="C5" s="1" t="s">
        <v>106</v>
      </c>
      <c r="D5" s="1">
        <v>100</v>
      </c>
    </row>
    <row r="6" spans="1:13" ht="15.5" x14ac:dyDescent="0.35">
      <c r="A6" s="1"/>
      <c r="B6" s="1"/>
      <c r="C6" s="1"/>
      <c r="D6" s="1"/>
    </row>
    <row r="7" spans="1:13" ht="15.5" x14ac:dyDescent="0.35">
      <c r="A7" s="2" t="s">
        <v>53</v>
      </c>
      <c r="B7" s="2">
        <f>SUM(B2:B6)</f>
        <v>24585</v>
      </c>
      <c r="C7" s="2"/>
      <c r="D7" s="2">
        <f>SUM(D2:D5)</f>
        <v>4550</v>
      </c>
    </row>
    <row r="9" spans="1:13" ht="21" x14ac:dyDescent="0.5">
      <c r="B9" s="3" t="s">
        <v>12</v>
      </c>
      <c r="C9" s="3">
        <f>B7-D7</f>
        <v>20035</v>
      </c>
    </row>
    <row r="10" spans="1:13" ht="21" x14ac:dyDescent="0.5">
      <c r="B10" s="3" t="s">
        <v>14</v>
      </c>
      <c r="C10" s="3">
        <f>C9-1500</f>
        <v>18535</v>
      </c>
      <c r="G10" s="41" t="s">
        <v>52</v>
      </c>
      <c r="H10" s="41"/>
      <c r="I10" s="41"/>
    </row>
    <row r="11" spans="1:13" x14ac:dyDescent="0.35">
      <c r="G11" s="7" t="s">
        <v>26</v>
      </c>
      <c r="H11" s="7" t="s">
        <v>27</v>
      </c>
      <c r="I11" s="7" t="s">
        <v>28</v>
      </c>
      <c r="J11" s="7" t="s">
        <v>29</v>
      </c>
      <c r="K11" s="7" t="s">
        <v>30</v>
      </c>
      <c r="L11" s="7" t="s">
        <v>31</v>
      </c>
      <c r="M11" s="7" t="s">
        <v>32</v>
      </c>
    </row>
    <row r="12" spans="1:13" ht="21" x14ac:dyDescent="0.5">
      <c r="A12" s="4" t="s">
        <v>13</v>
      </c>
      <c r="G12" s="8" t="s">
        <v>33</v>
      </c>
      <c r="H12" s="8" t="s">
        <v>34</v>
      </c>
      <c r="I12" s="8">
        <v>500</v>
      </c>
      <c r="J12" s="8"/>
      <c r="K12" s="8"/>
      <c r="L12" s="8"/>
      <c r="M12" s="8">
        <f>SUM(I12:L12)</f>
        <v>500</v>
      </c>
    </row>
    <row r="13" spans="1:13" ht="18.5" x14ac:dyDescent="0.45">
      <c r="B13" s="6"/>
      <c r="G13" s="8" t="s">
        <v>33</v>
      </c>
      <c r="H13" s="8" t="s">
        <v>34</v>
      </c>
      <c r="I13" s="8">
        <v>500</v>
      </c>
      <c r="J13" s="8">
        <v>300</v>
      </c>
      <c r="K13" s="8"/>
      <c r="L13" s="8"/>
      <c r="M13" s="8">
        <f>SUM(I13:L13)</f>
        <v>800</v>
      </c>
    </row>
    <row r="14" spans="1:13" ht="18.5" x14ac:dyDescent="0.45">
      <c r="B14" s="6"/>
      <c r="C14" s="6"/>
      <c r="D14" s="6"/>
      <c r="G14" s="7" t="s">
        <v>35</v>
      </c>
      <c r="H14" s="7" t="s">
        <v>36</v>
      </c>
      <c r="I14" s="7"/>
      <c r="J14" s="7"/>
      <c r="K14" s="7">
        <v>900</v>
      </c>
      <c r="L14" s="7"/>
      <c r="M14" s="7">
        <f>SUM(I14:L14)</f>
        <v>900</v>
      </c>
    </row>
    <row r="15" spans="1:13" ht="18.5" x14ac:dyDescent="0.45">
      <c r="A15" s="5">
        <v>1500</v>
      </c>
      <c r="B15" s="6" t="s">
        <v>15</v>
      </c>
      <c r="C15" s="6"/>
      <c r="D15" s="6"/>
      <c r="G15" s="7" t="s">
        <v>37</v>
      </c>
      <c r="H15" s="7" t="s">
        <v>36</v>
      </c>
      <c r="I15" s="7">
        <v>500</v>
      </c>
      <c r="J15" s="10">
        <v>300</v>
      </c>
      <c r="K15" s="7">
        <v>1000</v>
      </c>
      <c r="L15" s="7"/>
      <c r="M15" s="7">
        <f>SUM(I15:L15)</f>
        <v>1800</v>
      </c>
    </row>
    <row r="16" spans="1:13" ht="18.5" x14ac:dyDescent="0.45">
      <c r="A16" s="6"/>
      <c r="B16" s="6"/>
      <c r="C16" s="6"/>
      <c r="D16" s="6"/>
      <c r="G16" s="7" t="s">
        <v>38</v>
      </c>
      <c r="H16" s="7" t="s">
        <v>39</v>
      </c>
      <c r="I16" s="7"/>
      <c r="J16" s="10"/>
      <c r="K16" s="7">
        <v>1000</v>
      </c>
      <c r="L16" s="7"/>
      <c r="M16" s="7">
        <f>SUM(I16:L16)</f>
        <v>1000</v>
      </c>
    </row>
    <row r="17" spans="1:13" ht="18.5" x14ac:dyDescent="0.45">
      <c r="B17" s="6" t="s">
        <v>110</v>
      </c>
      <c r="G17" s="7" t="s">
        <v>40</v>
      </c>
      <c r="H17" s="7" t="s">
        <v>41</v>
      </c>
      <c r="I17" s="7">
        <v>500</v>
      </c>
      <c r="J17" s="7"/>
      <c r="K17" s="7"/>
      <c r="L17" s="7"/>
      <c r="M17" s="7">
        <f t="shared" ref="M17:M21" si="0">SUM(I17:L17)</f>
        <v>500</v>
      </c>
    </row>
    <row r="18" spans="1:13" ht="18.5" x14ac:dyDescent="0.45">
      <c r="B18" s="6"/>
      <c r="G18" s="8" t="s">
        <v>42</v>
      </c>
      <c r="H18" s="8" t="s">
        <v>41</v>
      </c>
      <c r="I18" s="8">
        <v>500</v>
      </c>
      <c r="J18" s="8">
        <v>300</v>
      </c>
      <c r="K18" s="8">
        <v>1000</v>
      </c>
      <c r="L18" s="8">
        <v>800</v>
      </c>
      <c r="M18" s="8">
        <f t="shared" si="0"/>
        <v>2600</v>
      </c>
    </row>
    <row r="19" spans="1:13" ht="18.5" x14ac:dyDescent="0.45">
      <c r="B19" s="6"/>
      <c r="G19" s="7" t="s">
        <v>43</v>
      </c>
      <c r="H19" s="7" t="s">
        <v>41</v>
      </c>
      <c r="I19" s="7"/>
      <c r="J19" s="7"/>
      <c r="K19" s="7"/>
      <c r="L19" s="7">
        <v>800</v>
      </c>
      <c r="M19" s="7">
        <f t="shared" si="0"/>
        <v>800</v>
      </c>
    </row>
    <row r="20" spans="1:13" ht="18.5" x14ac:dyDescent="0.45">
      <c r="B20" s="6"/>
      <c r="G20" s="7" t="s">
        <v>44</v>
      </c>
      <c r="H20" s="7" t="s">
        <v>45</v>
      </c>
      <c r="I20" s="7"/>
      <c r="J20" s="7"/>
      <c r="K20" s="7"/>
      <c r="L20" s="7">
        <v>300</v>
      </c>
      <c r="M20" s="7">
        <f t="shared" si="0"/>
        <v>300</v>
      </c>
    </row>
    <row r="21" spans="1:13" ht="18.5" x14ac:dyDescent="0.45">
      <c r="B21" s="6"/>
      <c r="G21" s="7" t="s">
        <v>50</v>
      </c>
      <c r="H21" s="7" t="s">
        <v>51</v>
      </c>
      <c r="I21" s="7">
        <v>500</v>
      </c>
      <c r="J21" s="10">
        <v>300</v>
      </c>
      <c r="K21" s="7"/>
      <c r="L21" s="7">
        <v>800</v>
      </c>
      <c r="M21" s="7">
        <f t="shared" si="0"/>
        <v>1600</v>
      </c>
    </row>
    <row r="22" spans="1:13" ht="18.5" x14ac:dyDescent="0.45">
      <c r="B22" s="6" t="s">
        <v>19</v>
      </c>
      <c r="G22" s="42" t="s">
        <v>53</v>
      </c>
      <c r="H22" s="43"/>
      <c r="I22" s="43"/>
      <c r="J22" s="43"/>
      <c r="K22" s="43"/>
      <c r="L22" s="44"/>
      <c r="M22" s="7">
        <f>SUM(M12:M21)</f>
        <v>10800</v>
      </c>
    </row>
    <row r="23" spans="1:13" ht="18.5" x14ac:dyDescent="0.45">
      <c r="B23" s="6"/>
    </row>
    <row r="24" spans="1:13" ht="18.5" x14ac:dyDescent="0.45">
      <c r="A24" s="13"/>
      <c r="H24" s="11"/>
      <c r="I24" t="s">
        <v>108</v>
      </c>
    </row>
    <row r="26" spans="1:13" ht="18.5" x14ac:dyDescent="0.45">
      <c r="A26" s="13"/>
    </row>
  </sheetData>
  <mergeCells count="4">
    <mergeCell ref="A1:B1"/>
    <mergeCell ref="C1:D1"/>
    <mergeCell ref="G10:I10"/>
    <mergeCell ref="G22:L22"/>
  </mergeCells>
  <pageMargins left="0.7" right="0.7" top="0.75" bottom="0.75" header="0.3" footer="0.3"/>
  <pageSetup paperSize="9" scale="9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26"/>
  <sheetViews>
    <sheetView rightToLeft="1" workbookViewId="0">
      <selection sqref="A1:B1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20035</v>
      </c>
      <c r="C2" s="1" t="s">
        <v>109</v>
      </c>
      <c r="D2" s="1">
        <v>2000</v>
      </c>
    </row>
    <row r="3" spans="1:13" ht="15.5" x14ac:dyDescent="0.35">
      <c r="A3" s="1" t="s">
        <v>22</v>
      </c>
      <c r="B3" s="1"/>
      <c r="C3" s="1" t="s">
        <v>118</v>
      </c>
      <c r="D3" s="1">
        <v>200</v>
      </c>
    </row>
    <row r="4" spans="1:13" ht="15.5" x14ac:dyDescent="0.35">
      <c r="A4" s="1" t="s">
        <v>8</v>
      </c>
      <c r="B4" s="1">
        <v>4400</v>
      </c>
      <c r="C4" s="1" t="s">
        <v>119</v>
      </c>
      <c r="D4" s="1">
        <v>50</v>
      </c>
    </row>
    <row r="5" spans="1:13" ht="15.5" x14ac:dyDescent="0.35">
      <c r="A5" s="1"/>
      <c r="B5" s="1"/>
      <c r="C5" s="1" t="s">
        <v>120</v>
      </c>
      <c r="D5" s="1">
        <v>200</v>
      </c>
    </row>
    <row r="6" spans="1:13" ht="15.5" x14ac:dyDescent="0.35">
      <c r="A6" s="1"/>
      <c r="B6" s="1"/>
      <c r="C6" s="1" t="s">
        <v>121</v>
      </c>
      <c r="D6" s="1">
        <v>100</v>
      </c>
    </row>
    <row r="7" spans="1:13" ht="15.5" x14ac:dyDescent="0.35">
      <c r="A7" s="2" t="s">
        <v>53</v>
      </c>
      <c r="B7" s="2">
        <f>SUM(B2:B6)</f>
        <v>24435</v>
      </c>
      <c r="C7" s="2"/>
      <c r="D7" s="2">
        <f>SUM(D2:D6)</f>
        <v>2550</v>
      </c>
    </row>
    <row r="9" spans="1:13" ht="21" x14ac:dyDescent="0.5">
      <c r="B9" s="3" t="s">
        <v>12</v>
      </c>
      <c r="C9" s="3">
        <f>B7-D7</f>
        <v>21885</v>
      </c>
    </row>
    <row r="10" spans="1:13" ht="21" x14ac:dyDescent="0.5">
      <c r="B10" s="3" t="s">
        <v>14</v>
      </c>
      <c r="C10" s="3">
        <f>C9-1500</f>
        <v>20385</v>
      </c>
      <c r="G10" s="41" t="s">
        <v>52</v>
      </c>
      <c r="H10" s="41"/>
      <c r="I10" s="41"/>
    </row>
    <row r="11" spans="1:13" x14ac:dyDescent="0.35">
      <c r="G11" s="7" t="s">
        <v>26</v>
      </c>
      <c r="H11" s="7" t="s">
        <v>27</v>
      </c>
      <c r="I11" s="7" t="s">
        <v>28</v>
      </c>
      <c r="J11" s="7" t="s">
        <v>29</v>
      </c>
      <c r="K11" s="7" t="s">
        <v>30</v>
      </c>
      <c r="L11" s="7" t="s">
        <v>31</v>
      </c>
      <c r="M11" s="7" t="s">
        <v>32</v>
      </c>
    </row>
    <row r="12" spans="1:13" ht="21" x14ac:dyDescent="0.5">
      <c r="A12" s="4" t="s">
        <v>13</v>
      </c>
      <c r="G12" s="8" t="s">
        <v>33</v>
      </c>
      <c r="H12" s="8" t="s">
        <v>34</v>
      </c>
      <c r="I12" s="8">
        <v>500</v>
      </c>
      <c r="J12" s="8"/>
      <c r="K12" s="8"/>
      <c r="L12" s="8"/>
      <c r="M12" s="8">
        <f>SUM(I12:L12)</f>
        <v>500</v>
      </c>
    </row>
    <row r="13" spans="1:13" ht="18.5" x14ac:dyDescent="0.45">
      <c r="B13" s="6"/>
      <c r="G13" s="8" t="s">
        <v>33</v>
      </c>
      <c r="H13" s="8" t="s">
        <v>34</v>
      </c>
      <c r="I13" s="8">
        <v>500</v>
      </c>
      <c r="J13" s="8">
        <v>300</v>
      </c>
      <c r="K13" s="8"/>
      <c r="L13" s="8"/>
      <c r="M13" s="8">
        <f>SUM(I13:L13)</f>
        <v>800</v>
      </c>
    </row>
    <row r="14" spans="1:13" ht="18.5" x14ac:dyDescent="0.45">
      <c r="B14" s="6"/>
      <c r="C14" s="6"/>
      <c r="D14" s="6"/>
      <c r="G14" s="7" t="s">
        <v>35</v>
      </c>
      <c r="H14" s="7" t="s">
        <v>36</v>
      </c>
      <c r="I14" s="7"/>
      <c r="J14" s="7"/>
      <c r="K14" s="7">
        <v>900</v>
      </c>
      <c r="L14" s="7"/>
      <c r="M14" s="7">
        <f>SUM(I14:L14)</f>
        <v>900</v>
      </c>
    </row>
    <row r="15" spans="1:13" ht="18.5" x14ac:dyDescent="0.45">
      <c r="A15" s="5">
        <v>1500</v>
      </c>
      <c r="B15" s="6" t="s">
        <v>15</v>
      </c>
      <c r="C15" s="6"/>
      <c r="D15" s="6"/>
      <c r="G15" s="7" t="s">
        <v>37</v>
      </c>
      <c r="H15" s="7" t="s">
        <v>36</v>
      </c>
      <c r="I15" s="7">
        <v>500</v>
      </c>
      <c r="J15" s="10">
        <v>300</v>
      </c>
      <c r="K15" s="7">
        <v>1000</v>
      </c>
      <c r="L15" s="7"/>
      <c r="M15" s="7">
        <f>SUM(I15:L15)</f>
        <v>1800</v>
      </c>
    </row>
    <row r="16" spans="1:13" ht="18.5" x14ac:dyDescent="0.45">
      <c r="A16" s="6"/>
      <c r="B16" s="6"/>
      <c r="C16" s="6"/>
      <c r="D16" s="6"/>
      <c r="G16" s="7" t="s">
        <v>38</v>
      </c>
      <c r="H16" s="7" t="s">
        <v>39</v>
      </c>
      <c r="I16" s="7"/>
      <c r="J16" s="10"/>
      <c r="K16" s="7">
        <v>1000</v>
      </c>
      <c r="L16" s="7"/>
      <c r="M16" s="7">
        <f>SUM(I16:L16)</f>
        <v>1000</v>
      </c>
    </row>
    <row r="17" spans="1:13" ht="18.5" x14ac:dyDescent="0.45">
      <c r="B17" s="6" t="s">
        <v>110</v>
      </c>
      <c r="G17" s="7" t="s">
        <v>40</v>
      </c>
      <c r="H17" s="7" t="s">
        <v>41</v>
      </c>
      <c r="I17" s="7">
        <v>500</v>
      </c>
      <c r="J17" s="7"/>
      <c r="K17" s="7"/>
      <c r="L17" s="7"/>
      <c r="M17" s="7">
        <f t="shared" ref="M17:M21" si="0">SUM(I17:L17)</f>
        <v>500</v>
      </c>
    </row>
    <row r="18" spans="1:13" ht="18.5" x14ac:dyDescent="0.45">
      <c r="B18" s="6"/>
      <c r="G18" s="8" t="s">
        <v>42</v>
      </c>
      <c r="H18" s="8" t="s">
        <v>41</v>
      </c>
      <c r="I18" s="8">
        <v>500</v>
      </c>
      <c r="J18" s="8">
        <v>300</v>
      </c>
      <c r="K18" s="8">
        <v>1000</v>
      </c>
      <c r="L18" s="8">
        <v>800</v>
      </c>
      <c r="M18" s="8">
        <f t="shared" si="0"/>
        <v>2600</v>
      </c>
    </row>
    <row r="19" spans="1:13" ht="18.5" x14ac:dyDescent="0.45">
      <c r="B19" s="6"/>
      <c r="G19" s="7" t="s">
        <v>43</v>
      </c>
      <c r="H19" s="7" t="s">
        <v>41</v>
      </c>
      <c r="I19" s="7"/>
      <c r="J19" s="7"/>
      <c r="K19" s="7"/>
      <c r="L19" s="7">
        <v>800</v>
      </c>
      <c r="M19" s="7">
        <f t="shared" si="0"/>
        <v>800</v>
      </c>
    </row>
    <row r="20" spans="1:13" ht="18.5" x14ac:dyDescent="0.45">
      <c r="B20" s="6"/>
      <c r="G20" s="7" t="s">
        <v>44</v>
      </c>
      <c r="H20" s="7" t="s">
        <v>45</v>
      </c>
      <c r="I20" s="7"/>
      <c r="J20" s="7"/>
      <c r="K20" s="7"/>
      <c r="L20" s="7">
        <v>300</v>
      </c>
      <c r="M20" s="7">
        <f t="shared" si="0"/>
        <v>300</v>
      </c>
    </row>
    <row r="21" spans="1:13" ht="18.5" x14ac:dyDescent="0.45">
      <c r="B21" s="6"/>
      <c r="G21" s="7" t="s">
        <v>50</v>
      </c>
      <c r="H21" s="7" t="s">
        <v>51</v>
      </c>
      <c r="I21" s="7">
        <v>500</v>
      </c>
      <c r="J21" s="10">
        <v>300</v>
      </c>
      <c r="K21" s="7"/>
      <c r="L21" s="7">
        <v>800</v>
      </c>
      <c r="M21" s="7">
        <f t="shared" si="0"/>
        <v>1600</v>
      </c>
    </row>
    <row r="22" spans="1:13" ht="18.5" x14ac:dyDescent="0.45">
      <c r="B22" s="6" t="s">
        <v>102</v>
      </c>
      <c r="G22" s="42" t="s">
        <v>53</v>
      </c>
      <c r="H22" s="43"/>
      <c r="I22" s="43"/>
      <c r="J22" s="43"/>
      <c r="K22" s="43"/>
      <c r="L22" s="44"/>
      <c r="M22" s="7">
        <f>SUM(M12:M21)</f>
        <v>10800</v>
      </c>
    </row>
    <row r="23" spans="1:13" ht="18.5" x14ac:dyDescent="0.45">
      <c r="B23" s="6"/>
    </row>
    <row r="24" spans="1:13" ht="18.5" x14ac:dyDescent="0.45">
      <c r="A24" s="13"/>
      <c r="H24" s="11"/>
      <c r="I24" t="s">
        <v>108</v>
      </c>
    </row>
    <row r="26" spans="1:13" ht="18.5" x14ac:dyDescent="0.45">
      <c r="A26" s="13"/>
    </row>
  </sheetData>
  <mergeCells count="4">
    <mergeCell ref="A1:B1"/>
    <mergeCell ref="C1:D1"/>
    <mergeCell ref="G10:I10"/>
    <mergeCell ref="G22:L22"/>
  </mergeCells>
  <pageMargins left="0.7" right="0.7" top="0.75" bottom="0.75" header="0.3" footer="0.3"/>
  <pageSetup paperSize="9" scale="9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26"/>
  <sheetViews>
    <sheetView rightToLeft="1" workbookViewId="0">
      <selection sqref="A1:B1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21885</v>
      </c>
      <c r="C2" s="1" t="s">
        <v>109</v>
      </c>
      <c r="D2" s="1">
        <v>3000</v>
      </c>
    </row>
    <row r="3" spans="1:13" ht="15.5" x14ac:dyDescent="0.35">
      <c r="A3" s="1" t="s">
        <v>22</v>
      </c>
      <c r="B3" s="1">
        <v>900</v>
      </c>
      <c r="C3" s="1" t="s">
        <v>118</v>
      </c>
      <c r="D3" s="1">
        <v>200</v>
      </c>
    </row>
    <row r="4" spans="1:13" ht="15.5" x14ac:dyDescent="0.35">
      <c r="A4" s="1" t="s">
        <v>8</v>
      </c>
      <c r="B4" s="1">
        <v>4400</v>
      </c>
      <c r="C4" s="1" t="s">
        <v>121</v>
      </c>
      <c r="D4" s="1">
        <v>200</v>
      </c>
    </row>
    <row r="5" spans="1:13" ht="15.5" x14ac:dyDescent="0.35">
      <c r="A5" s="1"/>
      <c r="B5" s="1"/>
      <c r="C5" s="1"/>
      <c r="D5" s="1"/>
    </row>
    <row r="6" spans="1:13" ht="15.5" x14ac:dyDescent="0.35">
      <c r="A6" s="1"/>
      <c r="B6" s="1"/>
      <c r="C6" s="1"/>
      <c r="D6" s="1"/>
    </row>
    <row r="7" spans="1:13" ht="15.5" x14ac:dyDescent="0.35">
      <c r="A7" s="2" t="s">
        <v>53</v>
      </c>
      <c r="B7" s="2">
        <f>SUM(B2:B6)</f>
        <v>27185</v>
      </c>
      <c r="C7" s="2"/>
      <c r="D7" s="2">
        <f>SUM(D2:D6)</f>
        <v>3400</v>
      </c>
    </row>
    <row r="9" spans="1:13" ht="21" x14ac:dyDescent="0.5">
      <c r="B9" s="3" t="s">
        <v>12</v>
      </c>
      <c r="C9" s="3">
        <f>B7-D7</f>
        <v>23785</v>
      </c>
    </row>
    <row r="10" spans="1:13" ht="21" x14ac:dyDescent="0.5">
      <c r="B10" s="3" t="s">
        <v>14</v>
      </c>
      <c r="C10" s="3">
        <f>C9-1500</f>
        <v>22285</v>
      </c>
      <c r="G10" s="41" t="s">
        <v>52</v>
      </c>
      <c r="H10" s="41"/>
      <c r="I10" s="41"/>
    </row>
    <row r="11" spans="1:13" x14ac:dyDescent="0.35">
      <c r="G11" s="7" t="s">
        <v>26</v>
      </c>
      <c r="H11" s="7" t="s">
        <v>27</v>
      </c>
      <c r="I11" s="7" t="s">
        <v>28</v>
      </c>
      <c r="J11" s="7" t="s">
        <v>29</v>
      </c>
      <c r="K11" s="7" t="s">
        <v>30</v>
      </c>
      <c r="L11" s="7" t="s">
        <v>31</v>
      </c>
      <c r="M11" s="7" t="s">
        <v>32</v>
      </c>
    </row>
    <row r="12" spans="1:13" ht="21" x14ac:dyDescent="0.5">
      <c r="A12" s="4" t="s">
        <v>13</v>
      </c>
      <c r="G12" s="8" t="s">
        <v>33</v>
      </c>
      <c r="H12" s="8" t="s">
        <v>34</v>
      </c>
      <c r="I12" s="8">
        <v>500</v>
      </c>
      <c r="J12" s="8"/>
      <c r="K12" s="8"/>
      <c r="L12" s="8"/>
      <c r="M12" s="8">
        <f>SUM(I12:L12)</f>
        <v>500</v>
      </c>
    </row>
    <row r="13" spans="1:13" ht="18.5" x14ac:dyDescent="0.45">
      <c r="B13" s="6"/>
      <c r="G13" s="8" t="s">
        <v>33</v>
      </c>
      <c r="H13" s="8" t="s">
        <v>34</v>
      </c>
      <c r="I13" s="8">
        <v>500</v>
      </c>
      <c r="J13" s="8">
        <v>300</v>
      </c>
      <c r="K13" s="8"/>
      <c r="L13" s="8"/>
      <c r="M13" s="8">
        <f>SUM(I13:L13)</f>
        <v>800</v>
      </c>
    </row>
    <row r="14" spans="1:13" ht="18.5" x14ac:dyDescent="0.45">
      <c r="B14" s="6"/>
      <c r="C14" s="6"/>
      <c r="D14" s="6"/>
      <c r="G14" s="8" t="s">
        <v>35</v>
      </c>
      <c r="H14" s="8" t="s">
        <v>36</v>
      </c>
      <c r="I14" s="22">
        <v>500</v>
      </c>
      <c r="J14" s="8"/>
      <c r="K14" s="8"/>
      <c r="L14" s="8"/>
      <c r="M14" s="8">
        <f>SUM(I14:L14)</f>
        <v>500</v>
      </c>
    </row>
    <row r="15" spans="1:13" ht="18.5" x14ac:dyDescent="0.45">
      <c r="A15" s="5">
        <v>1500</v>
      </c>
      <c r="B15" s="6" t="s">
        <v>15</v>
      </c>
      <c r="C15" s="6"/>
      <c r="D15" s="6"/>
      <c r="G15" s="7" t="s">
        <v>37</v>
      </c>
      <c r="H15" s="7" t="s">
        <v>36</v>
      </c>
      <c r="I15" s="7">
        <v>500</v>
      </c>
      <c r="J15" s="10">
        <v>300</v>
      </c>
      <c r="K15" s="7">
        <v>1000</v>
      </c>
      <c r="L15" s="7"/>
      <c r="M15" s="7">
        <f>SUM(I15:L15)</f>
        <v>1800</v>
      </c>
    </row>
    <row r="16" spans="1:13" ht="18.5" x14ac:dyDescent="0.45">
      <c r="A16" s="6"/>
      <c r="B16" s="6"/>
      <c r="C16" s="6"/>
      <c r="D16" s="6"/>
      <c r="G16" s="7" t="s">
        <v>38</v>
      </c>
      <c r="H16" s="7" t="s">
        <v>39</v>
      </c>
      <c r="I16" s="7"/>
      <c r="J16" s="10"/>
      <c r="K16" s="7">
        <v>500</v>
      </c>
      <c r="L16" s="7"/>
      <c r="M16" s="7">
        <f>SUM(I16:L16)</f>
        <v>500</v>
      </c>
    </row>
    <row r="17" spans="1:13" ht="18.5" x14ac:dyDescent="0.45">
      <c r="B17" s="6" t="s">
        <v>110</v>
      </c>
      <c r="G17" s="7" t="s">
        <v>40</v>
      </c>
      <c r="H17" s="7" t="s">
        <v>41</v>
      </c>
      <c r="I17" s="7">
        <v>500</v>
      </c>
      <c r="J17" s="7"/>
      <c r="K17" s="7"/>
      <c r="L17" s="7"/>
      <c r="M17" s="7">
        <f t="shared" ref="M17:M21" si="0">SUM(I17:L17)</f>
        <v>500</v>
      </c>
    </row>
    <row r="18" spans="1:13" ht="18.5" x14ac:dyDescent="0.45">
      <c r="B18" s="6" t="s">
        <v>116</v>
      </c>
      <c r="C18">
        <v>500</v>
      </c>
      <c r="G18" s="8" t="s">
        <v>42</v>
      </c>
      <c r="H18" s="8" t="s">
        <v>41</v>
      </c>
      <c r="I18" s="8">
        <v>500</v>
      </c>
      <c r="J18" s="8">
        <v>300</v>
      </c>
      <c r="K18" s="8">
        <v>1000</v>
      </c>
      <c r="L18" s="8">
        <v>800</v>
      </c>
      <c r="M18" s="8">
        <f t="shared" si="0"/>
        <v>2600</v>
      </c>
    </row>
    <row r="19" spans="1:13" ht="18.5" x14ac:dyDescent="0.45">
      <c r="B19" s="6" t="s">
        <v>122</v>
      </c>
      <c r="C19">
        <v>400</v>
      </c>
      <c r="G19" s="7" t="s">
        <v>43</v>
      </c>
      <c r="H19" s="7" t="s">
        <v>41</v>
      </c>
      <c r="I19" s="7"/>
      <c r="J19" s="7"/>
      <c r="K19" s="7"/>
      <c r="L19" s="7">
        <v>800</v>
      </c>
      <c r="M19" s="7">
        <f t="shared" si="0"/>
        <v>800</v>
      </c>
    </row>
    <row r="20" spans="1:13" ht="18.5" x14ac:dyDescent="0.45">
      <c r="B20" s="6"/>
      <c r="G20" s="7" t="s">
        <v>44</v>
      </c>
      <c r="H20" s="7" t="s">
        <v>45</v>
      </c>
      <c r="I20" s="7"/>
      <c r="J20" s="7"/>
      <c r="K20" s="7"/>
      <c r="L20" s="7">
        <v>300</v>
      </c>
      <c r="M20" s="7">
        <f t="shared" si="0"/>
        <v>300</v>
      </c>
    </row>
    <row r="21" spans="1:13" ht="18.5" x14ac:dyDescent="0.45">
      <c r="B21" s="6"/>
      <c r="G21" s="7" t="s">
        <v>50</v>
      </c>
      <c r="H21" s="7" t="s">
        <v>51</v>
      </c>
      <c r="I21" s="7">
        <v>500</v>
      </c>
      <c r="J21" s="10">
        <v>300</v>
      </c>
      <c r="K21" s="7"/>
      <c r="L21" s="7">
        <v>800</v>
      </c>
      <c r="M21" s="7">
        <f t="shared" si="0"/>
        <v>1600</v>
      </c>
    </row>
    <row r="22" spans="1:13" ht="18.5" x14ac:dyDescent="0.45">
      <c r="B22" s="6" t="s">
        <v>102</v>
      </c>
      <c r="G22" s="42" t="s">
        <v>53</v>
      </c>
      <c r="H22" s="43"/>
      <c r="I22" s="43"/>
      <c r="J22" s="43"/>
      <c r="K22" s="43"/>
      <c r="L22" s="44"/>
      <c r="M22" s="7">
        <f>SUM(M12:M21)</f>
        <v>9900</v>
      </c>
    </row>
    <row r="23" spans="1:13" ht="18.5" x14ac:dyDescent="0.45">
      <c r="B23" s="6"/>
    </row>
    <row r="24" spans="1:13" ht="18.5" x14ac:dyDescent="0.45">
      <c r="A24" s="13"/>
      <c r="H24" s="11"/>
      <c r="I24" t="s">
        <v>108</v>
      </c>
    </row>
    <row r="26" spans="1:13" ht="18.5" x14ac:dyDescent="0.45">
      <c r="A26" s="13"/>
    </row>
  </sheetData>
  <mergeCells count="4">
    <mergeCell ref="A1:B1"/>
    <mergeCell ref="C1:D1"/>
    <mergeCell ref="G10:I10"/>
    <mergeCell ref="G22:L22"/>
  </mergeCells>
  <pageMargins left="0.7" right="0.7" top="0.75" bottom="0.75" header="0.3" footer="0.3"/>
  <pageSetup paperSize="9" scale="9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29"/>
  <sheetViews>
    <sheetView rightToLeft="1" workbookViewId="0">
      <selection sqref="A1:B1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23785</v>
      </c>
      <c r="C2" s="1" t="s">
        <v>109</v>
      </c>
      <c r="D2" s="1">
        <v>3000</v>
      </c>
    </row>
    <row r="3" spans="1:13" ht="15.5" x14ac:dyDescent="0.35">
      <c r="A3" s="1" t="s">
        <v>22</v>
      </c>
      <c r="B3" s="1">
        <v>500</v>
      </c>
      <c r="C3" s="1" t="s">
        <v>118</v>
      </c>
      <c r="D3" s="1">
        <v>200</v>
      </c>
    </row>
    <row r="4" spans="1:13" ht="15.5" x14ac:dyDescent="0.35">
      <c r="A4" s="1" t="s">
        <v>8</v>
      </c>
      <c r="B4" s="1">
        <v>4200</v>
      </c>
      <c r="C4" s="1" t="s">
        <v>123</v>
      </c>
      <c r="D4" s="1">
        <v>900</v>
      </c>
    </row>
    <row r="5" spans="1:13" ht="15.5" x14ac:dyDescent="0.35">
      <c r="A5" s="1"/>
      <c r="B5" s="1"/>
      <c r="C5" s="1" t="s">
        <v>124</v>
      </c>
      <c r="D5" s="1">
        <v>7000</v>
      </c>
    </row>
    <row r="6" spans="1:13" ht="15.5" x14ac:dyDescent="0.35">
      <c r="A6" s="1"/>
      <c r="B6" s="1"/>
      <c r="C6" s="1" t="s">
        <v>125</v>
      </c>
      <c r="D6" s="1">
        <v>600</v>
      </c>
    </row>
    <row r="7" spans="1:13" ht="15.5" x14ac:dyDescent="0.35">
      <c r="A7" s="1"/>
      <c r="B7" s="1"/>
      <c r="C7" s="1" t="s">
        <v>126</v>
      </c>
      <c r="D7" s="1">
        <v>100</v>
      </c>
    </row>
    <row r="8" spans="1:13" ht="15.5" x14ac:dyDescent="0.35">
      <c r="A8" s="1"/>
      <c r="B8" s="1"/>
      <c r="C8" s="1" t="s">
        <v>129</v>
      </c>
      <c r="D8" s="1">
        <v>2550</v>
      </c>
    </row>
    <row r="9" spans="1:13" ht="15.5" x14ac:dyDescent="0.35">
      <c r="A9" s="1"/>
      <c r="B9" s="1"/>
      <c r="C9" s="1" t="s">
        <v>128</v>
      </c>
      <c r="D9" s="1">
        <v>100</v>
      </c>
    </row>
    <row r="10" spans="1:13" ht="15.5" x14ac:dyDescent="0.35">
      <c r="A10" s="2" t="s">
        <v>53</v>
      </c>
      <c r="B10" s="2">
        <f>SUM(B2:B9)</f>
        <v>28485</v>
      </c>
      <c r="C10" s="2"/>
      <c r="D10" s="2">
        <f>SUM(D2:D9)</f>
        <v>14450</v>
      </c>
    </row>
    <row r="12" spans="1:13" ht="21" x14ac:dyDescent="0.5">
      <c r="B12" s="3" t="s">
        <v>12</v>
      </c>
      <c r="C12" s="3">
        <f>B10-D10</f>
        <v>14035</v>
      </c>
    </row>
    <row r="13" spans="1:13" ht="21" x14ac:dyDescent="0.5">
      <c r="B13" s="3" t="s">
        <v>14</v>
      </c>
      <c r="C13" s="3">
        <f>C12-1500</f>
        <v>12535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 t="s">
        <v>127</v>
      </c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 t="s">
        <v>116</v>
      </c>
      <c r="C21">
        <v>500</v>
      </c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300</v>
      </c>
      <c r="M23" s="7">
        <f t="shared" si="0"/>
        <v>300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102</v>
      </c>
      <c r="G25" s="42" t="s">
        <v>53</v>
      </c>
      <c r="H25" s="43"/>
      <c r="I25" s="43"/>
      <c r="J25" s="43"/>
      <c r="K25" s="43"/>
      <c r="L25" s="44"/>
      <c r="M25" s="7">
        <f>SUM(M15:M24)</f>
        <v>9900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  <pageSetup paperSize="9" scale="9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M29"/>
  <sheetViews>
    <sheetView rightToLeft="1" workbookViewId="0">
      <selection sqref="A1:B1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14035</v>
      </c>
      <c r="C2" s="1" t="s">
        <v>109</v>
      </c>
      <c r="D2" s="1">
        <v>2000</v>
      </c>
    </row>
    <row r="3" spans="1:13" ht="15.5" x14ac:dyDescent="0.35">
      <c r="A3" s="1" t="s">
        <v>131</v>
      </c>
      <c r="B3" s="1">
        <v>150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4400</v>
      </c>
      <c r="C4" s="1"/>
      <c r="D4" s="1"/>
    </row>
    <row r="5" spans="1:13" ht="15.5" x14ac:dyDescent="0.35">
      <c r="A5" s="1"/>
      <c r="B5" s="1"/>
      <c r="C5" s="1"/>
      <c r="D5" s="1"/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18585</v>
      </c>
      <c r="C10" s="2"/>
      <c r="D10" s="2">
        <f>SUM(D2:D9)</f>
        <v>2250</v>
      </c>
    </row>
    <row r="12" spans="1:13" ht="21" x14ac:dyDescent="0.5">
      <c r="B12" s="3" t="s">
        <v>12</v>
      </c>
      <c r="C12" s="3">
        <f>B10-D10</f>
        <v>16335</v>
      </c>
    </row>
    <row r="13" spans="1:13" ht="21" x14ac:dyDescent="0.5">
      <c r="B13" s="3" t="s">
        <v>14</v>
      </c>
      <c r="C13" s="3">
        <f>C12-1500</f>
        <v>14835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300</v>
      </c>
      <c r="M23" s="7">
        <f t="shared" si="0"/>
        <v>300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102</v>
      </c>
      <c r="G25" s="42" t="s">
        <v>53</v>
      </c>
      <c r="H25" s="43"/>
      <c r="I25" s="43"/>
      <c r="J25" s="43"/>
      <c r="K25" s="43"/>
      <c r="L25" s="44"/>
      <c r="M25" s="7">
        <f>SUM(M15:M24)</f>
        <v>9900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  <pageSetup paperSize="9" scale="9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M29"/>
  <sheetViews>
    <sheetView rightToLeft="1" workbookViewId="0">
      <selection sqref="A1:B1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16335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150</v>
      </c>
      <c r="C3" s="1" t="s">
        <v>118</v>
      </c>
      <c r="D3" s="1">
        <v>200</v>
      </c>
    </row>
    <row r="4" spans="1:13" ht="15.5" x14ac:dyDescent="0.35">
      <c r="A4" s="1" t="s">
        <v>8</v>
      </c>
      <c r="B4" s="1">
        <v>4400</v>
      </c>
      <c r="C4" s="1" t="s">
        <v>126</v>
      </c>
      <c r="D4" s="1">
        <v>100</v>
      </c>
    </row>
    <row r="5" spans="1:13" ht="15.5" x14ac:dyDescent="0.35">
      <c r="A5" s="1"/>
      <c r="B5" s="1"/>
      <c r="C5" s="1" t="s">
        <v>130</v>
      </c>
      <c r="D5" s="1">
        <v>50</v>
      </c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20885</v>
      </c>
      <c r="C10" s="2"/>
      <c r="D10" s="2">
        <f>SUM(D2:D9)</f>
        <v>3350</v>
      </c>
    </row>
    <row r="12" spans="1:13" ht="21" x14ac:dyDescent="0.5">
      <c r="B12" s="3" t="s">
        <v>12</v>
      </c>
      <c r="C12" s="3">
        <f>B10-D10</f>
        <v>17535</v>
      </c>
    </row>
    <row r="13" spans="1:13" ht="21" x14ac:dyDescent="0.5">
      <c r="B13" s="3" t="s">
        <v>14</v>
      </c>
      <c r="C13" s="3">
        <f>C12-1500</f>
        <v>16035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300</v>
      </c>
      <c r="M23" s="7">
        <f t="shared" si="0"/>
        <v>300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102</v>
      </c>
      <c r="G25" s="42" t="s">
        <v>53</v>
      </c>
      <c r="H25" s="43"/>
      <c r="I25" s="43"/>
      <c r="J25" s="43"/>
      <c r="K25" s="43"/>
      <c r="L25" s="44"/>
      <c r="M25" s="7">
        <f>SUM(M15:M24)</f>
        <v>9900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  <pageSetup paperSize="9" scale="9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M29"/>
  <sheetViews>
    <sheetView rightToLeft="1" workbookViewId="0">
      <selection activeCell="B3" sqref="B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17535</v>
      </c>
      <c r="C2" s="1" t="s">
        <v>109</v>
      </c>
      <c r="D2" s="1">
        <v>2000</v>
      </c>
    </row>
    <row r="3" spans="1:13" ht="15.5" x14ac:dyDescent="0.35">
      <c r="A3" s="1" t="s">
        <v>131</v>
      </c>
      <c r="B3" s="1">
        <v>150</v>
      </c>
      <c r="C3" s="1" t="s">
        <v>118</v>
      </c>
      <c r="D3" s="1">
        <v>200</v>
      </c>
    </row>
    <row r="4" spans="1:13" ht="15.5" x14ac:dyDescent="0.35">
      <c r="A4" s="1" t="s">
        <v>8</v>
      </c>
      <c r="B4" s="1">
        <v>4400</v>
      </c>
      <c r="C4" s="1" t="s">
        <v>132</v>
      </c>
      <c r="D4" s="1">
        <v>3700</v>
      </c>
    </row>
    <row r="5" spans="1:13" ht="15.5" x14ac:dyDescent="0.35">
      <c r="A5" s="1"/>
      <c r="B5" s="1"/>
      <c r="C5" s="1" t="s">
        <v>133</v>
      </c>
      <c r="D5" s="1">
        <v>50</v>
      </c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22085</v>
      </c>
      <c r="C10" s="2"/>
      <c r="D10" s="2">
        <f>SUM(D2:D9)</f>
        <v>5950</v>
      </c>
    </row>
    <row r="12" spans="1:13" ht="21" x14ac:dyDescent="0.5">
      <c r="B12" s="3" t="s">
        <v>12</v>
      </c>
      <c r="C12" s="3">
        <f>B10-D10</f>
        <v>16135</v>
      </c>
    </row>
    <row r="13" spans="1:13" ht="21" x14ac:dyDescent="0.5">
      <c r="B13" s="3" t="s">
        <v>14</v>
      </c>
      <c r="C13" s="3">
        <f>C12-1500</f>
        <v>14635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300</v>
      </c>
      <c r="M23" s="7">
        <f t="shared" si="0"/>
        <v>300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102</v>
      </c>
      <c r="G25" s="42" t="s">
        <v>53</v>
      </c>
      <c r="H25" s="43"/>
      <c r="I25" s="43"/>
      <c r="J25" s="43"/>
      <c r="K25" s="43"/>
      <c r="L25" s="44"/>
      <c r="M25" s="7">
        <f>SUM(M15:M24)</f>
        <v>9900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  <pageSetup paperSize="9" scale="9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M29"/>
  <sheetViews>
    <sheetView rightToLeft="1" workbookViewId="0">
      <selection activeCell="E26" sqref="E26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16135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200</v>
      </c>
    </row>
    <row r="4" spans="1:13" ht="15.5" x14ac:dyDescent="0.35">
      <c r="A4" s="1" t="s">
        <v>8</v>
      </c>
      <c r="B4" s="1">
        <v>4400</v>
      </c>
      <c r="C4" s="1" t="s">
        <v>126</v>
      </c>
      <c r="D4" s="1">
        <v>300</v>
      </c>
    </row>
    <row r="5" spans="1:13" ht="15.5" x14ac:dyDescent="0.35">
      <c r="A5" s="1"/>
      <c r="B5" s="1"/>
      <c r="C5" s="1" t="s">
        <v>134</v>
      </c>
      <c r="D5" s="1">
        <v>485</v>
      </c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20635</v>
      </c>
      <c r="C10" s="2"/>
      <c r="D10" s="2">
        <f>SUM(D2:D9)</f>
        <v>3985</v>
      </c>
    </row>
    <row r="12" spans="1:13" ht="21" x14ac:dyDescent="0.5">
      <c r="B12" s="3" t="s">
        <v>12</v>
      </c>
      <c r="C12" s="3">
        <f>B10-D10</f>
        <v>16650</v>
      </c>
    </row>
    <row r="13" spans="1:13" ht="21" x14ac:dyDescent="0.5">
      <c r="B13" s="3" t="s">
        <v>14</v>
      </c>
      <c r="C13" s="3">
        <f>C12-1500</f>
        <v>15150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300</v>
      </c>
      <c r="M23" s="7">
        <f t="shared" si="0"/>
        <v>300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102</v>
      </c>
      <c r="G25" s="42" t="s">
        <v>53</v>
      </c>
      <c r="H25" s="43"/>
      <c r="I25" s="43"/>
      <c r="J25" s="43"/>
      <c r="K25" s="43"/>
      <c r="L25" s="44"/>
      <c r="M25" s="7">
        <f>SUM(M15:M24)</f>
        <v>9900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  <pageSetup paperSize="9" scale="9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M29"/>
  <sheetViews>
    <sheetView rightToLeft="1" topLeftCell="A2" workbookViewId="0">
      <selection activeCell="B26" sqref="B26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16650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200</v>
      </c>
    </row>
    <row r="4" spans="1:13" ht="15.5" x14ac:dyDescent="0.35">
      <c r="A4" s="1" t="s">
        <v>8</v>
      </c>
      <c r="B4" s="1">
        <v>4000</v>
      </c>
      <c r="C4" s="1" t="s">
        <v>138</v>
      </c>
      <c r="D4" s="1">
        <v>200</v>
      </c>
    </row>
    <row r="5" spans="1:13" ht="15.5" x14ac:dyDescent="0.35">
      <c r="A5" s="1"/>
      <c r="B5" s="1"/>
      <c r="C5" s="1" t="s">
        <v>135</v>
      </c>
      <c r="D5" s="1">
        <v>15</v>
      </c>
    </row>
    <row r="6" spans="1:13" ht="15.5" x14ac:dyDescent="0.35">
      <c r="A6" s="1"/>
      <c r="B6" s="1"/>
      <c r="C6" s="1" t="s">
        <v>136</v>
      </c>
      <c r="D6" s="1">
        <v>250</v>
      </c>
    </row>
    <row r="7" spans="1:13" ht="15.5" x14ac:dyDescent="0.35">
      <c r="A7" s="1"/>
      <c r="B7" s="1"/>
      <c r="C7" s="1"/>
      <c r="D7" s="1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20750</v>
      </c>
      <c r="C10" s="2"/>
      <c r="D10" s="2">
        <f>SUM(D2:D9)</f>
        <v>3665</v>
      </c>
    </row>
    <row r="12" spans="1:13" ht="21" x14ac:dyDescent="0.5">
      <c r="B12" s="3" t="s">
        <v>12</v>
      </c>
      <c r="C12" s="3">
        <f>B10-D10</f>
        <v>17085</v>
      </c>
    </row>
    <row r="13" spans="1:13" ht="21" x14ac:dyDescent="0.5">
      <c r="B13" s="3" t="s">
        <v>14</v>
      </c>
      <c r="C13" s="3">
        <f>C12-1500</f>
        <v>15585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300</v>
      </c>
      <c r="M23" s="7">
        <f t="shared" si="0"/>
        <v>300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137</v>
      </c>
      <c r="G25" s="42" t="s">
        <v>53</v>
      </c>
      <c r="H25" s="43"/>
      <c r="I25" s="43"/>
      <c r="J25" s="43"/>
      <c r="K25" s="43"/>
      <c r="L25" s="44"/>
      <c r="M25" s="7">
        <f>SUM(M15:M24)</f>
        <v>9900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  <pageSetup paperSize="9" scale="9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29"/>
  <sheetViews>
    <sheetView rightToLeft="1" workbookViewId="0">
      <selection activeCell="C8" sqref="C8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17085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200</v>
      </c>
    </row>
    <row r="4" spans="1:13" ht="15.5" x14ac:dyDescent="0.35">
      <c r="A4" s="1" t="s">
        <v>8</v>
      </c>
      <c r="B4" s="1">
        <v>4000</v>
      </c>
      <c r="C4" s="1" t="s">
        <v>140</v>
      </c>
      <c r="D4" s="1">
        <v>500</v>
      </c>
    </row>
    <row r="5" spans="1:13" ht="15.5" x14ac:dyDescent="0.35">
      <c r="A5" s="1"/>
      <c r="B5" s="1"/>
      <c r="C5" s="1" t="s">
        <v>139</v>
      </c>
      <c r="D5" s="1">
        <v>7000</v>
      </c>
    </row>
    <row r="6" spans="1:13" ht="15.5" x14ac:dyDescent="0.35">
      <c r="A6" s="1"/>
      <c r="B6" s="1"/>
      <c r="C6" s="1" t="s">
        <v>114</v>
      </c>
      <c r="D6" s="1">
        <v>3200</v>
      </c>
    </row>
    <row r="7" spans="1:13" ht="15.5" x14ac:dyDescent="0.35">
      <c r="A7" s="1"/>
      <c r="B7" s="1"/>
      <c r="C7" s="1" t="s">
        <v>106</v>
      </c>
      <c r="D7" s="1">
        <v>200</v>
      </c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21185</v>
      </c>
      <c r="C10" s="2"/>
      <c r="D10" s="2">
        <f>SUM(D2:D9)</f>
        <v>14100</v>
      </c>
    </row>
    <row r="12" spans="1:13" ht="21" x14ac:dyDescent="0.5">
      <c r="B12" s="3" t="s">
        <v>12</v>
      </c>
      <c r="C12" s="3">
        <f>B10-D10</f>
        <v>7085</v>
      </c>
    </row>
    <row r="13" spans="1:13" ht="21" x14ac:dyDescent="0.5">
      <c r="B13" s="3" t="s">
        <v>14</v>
      </c>
      <c r="C13" s="3">
        <f>C12-1500</f>
        <v>5585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300</v>
      </c>
      <c r="M23" s="7">
        <f t="shared" si="0"/>
        <v>300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137</v>
      </c>
      <c r="G25" s="42" t="s">
        <v>53</v>
      </c>
      <c r="H25" s="43"/>
      <c r="I25" s="43"/>
      <c r="J25" s="43"/>
      <c r="K25" s="43"/>
      <c r="L25" s="44"/>
      <c r="M25" s="7">
        <f>SUM(M15:M24)</f>
        <v>9900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  <pageSetup paperSize="9" scale="97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M29"/>
  <sheetViews>
    <sheetView rightToLeft="1" workbookViewId="0">
      <selection activeCell="C14" sqref="C14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7085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200</v>
      </c>
    </row>
    <row r="4" spans="1:13" ht="15.5" x14ac:dyDescent="0.35">
      <c r="A4" s="1" t="s">
        <v>8</v>
      </c>
      <c r="B4" s="1">
        <v>4200</v>
      </c>
      <c r="C4" s="1" t="s">
        <v>114</v>
      </c>
      <c r="D4" s="1">
        <v>3200</v>
      </c>
    </row>
    <row r="5" spans="1:13" ht="15.5" x14ac:dyDescent="0.35">
      <c r="A5" s="1"/>
      <c r="B5" s="1"/>
      <c r="C5" s="1" t="s">
        <v>31</v>
      </c>
      <c r="D5" s="1">
        <v>900</v>
      </c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11385</v>
      </c>
      <c r="C10" s="2"/>
      <c r="D10" s="2">
        <f>SUM(D2:D9)</f>
        <v>7300</v>
      </c>
    </row>
    <row r="12" spans="1:13" ht="21" x14ac:dyDescent="0.5">
      <c r="B12" s="3" t="s">
        <v>12</v>
      </c>
      <c r="C12" s="3">
        <f>B10-D10</f>
        <v>4085</v>
      </c>
    </row>
    <row r="13" spans="1:13" ht="21" x14ac:dyDescent="0.5">
      <c r="B13" s="3" t="s">
        <v>14</v>
      </c>
      <c r="C13" s="3">
        <f>C12-1500</f>
        <v>2585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300</v>
      </c>
      <c r="M23" s="7">
        <f t="shared" si="0"/>
        <v>300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19</v>
      </c>
      <c r="G25" s="42" t="s">
        <v>53</v>
      </c>
      <c r="H25" s="43"/>
      <c r="I25" s="43"/>
      <c r="J25" s="43"/>
      <c r="K25" s="43"/>
      <c r="L25" s="44"/>
      <c r="M25" s="7">
        <f>SUM(M15:M24)</f>
        <v>9900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  <pageSetup paperSize="9" scale="9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M29"/>
  <sheetViews>
    <sheetView rightToLeft="1" workbookViewId="0">
      <selection activeCell="J12" sqref="J12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4085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200</v>
      </c>
    </row>
    <row r="4" spans="1:13" ht="15.5" x14ac:dyDescent="0.35">
      <c r="A4" s="1" t="s">
        <v>8</v>
      </c>
      <c r="B4" s="1">
        <v>4200</v>
      </c>
      <c r="C4" s="1" t="s">
        <v>126</v>
      </c>
      <c r="D4" s="1">
        <v>100</v>
      </c>
    </row>
    <row r="5" spans="1:13" ht="15.5" x14ac:dyDescent="0.35">
      <c r="A5" s="1"/>
      <c r="B5" s="1"/>
      <c r="C5" s="1"/>
      <c r="D5" s="1"/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8385</v>
      </c>
      <c r="C10" s="2"/>
      <c r="D10" s="2">
        <f>SUM(D2:D9)</f>
        <v>3300</v>
      </c>
    </row>
    <row r="12" spans="1:13" ht="21" x14ac:dyDescent="0.5">
      <c r="B12" s="3" t="s">
        <v>12</v>
      </c>
      <c r="C12" s="3">
        <f>B10-D10</f>
        <v>5085</v>
      </c>
    </row>
    <row r="13" spans="1:13" ht="21" x14ac:dyDescent="0.5">
      <c r="B13" s="3" t="s">
        <v>14</v>
      </c>
      <c r="C13" s="3">
        <f>C12-1500</f>
        <v>3585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300</v>
      </c>
      <c r="M23" s="7">
        <f t="shared" si="0"/>
        <v>300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19</v>
      </c>
      <c r="G25" s="42" t="s">
        <v>53</v>
      </c>
      <c r="H25" s="43"/>
      <c r="I25" s="43"/>
      <c r="J25" s="43"/>
      <c r="K25" s="43"/>
      <c r="L25" s="44"/>
      <c r="M25" s="7">
        <f>SUM(M15:M24)</f>
        <v>9900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  <pageSetup paperSize="9" scale="9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M29"/>
  <sheetViews>
    <sheetView rightToLeft="1" workbookViewId="0">
      <selection activeCell="E18" sqref="A1:XFD1048576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5085</v>
      </c>
      <c r="C2" s="1" t="s">
        <v>109</v>
      </c>
      <c r="D2" s="1">
        <v>2500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200</v>
      </c>
    </row>
    <row r="4" spans="1:13" ht="15.5" x14ac:dyDescent="0.35">
      <c r="A4" s="1" t="s">
        <v>8</v>
      </c>
      <c r="B4" s="1">
        <v>4400</v>
      </c>
      <c r="C4" s="1" t="s">
        <v>141</v>
      </c>
      <c r="D4" s="1">
        <v>1000</v>
      </c>
    </row>
    <row r="5" spans="1:13" ht="15.5" x14ac:dyDescent="0.35">
      <c r="A5" s="1"/>
      <c r="B5" s="1"/>
      <c r="C5" s="1" t="s">
        <v>142</v>
      </c>
      <c r="D5" s="1">
        <v>50</v>
      </c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9585</v>
      </c>
      <c r="C10" s="2"/>
      <c r="D10" s="2">
        <f>SUM(D2:D9)</f>
        <v>3750</v>
      </c>
    </row>
    <row r="12" spans="1:13" ht="21" x14ac:dyDescent="0.5">
      <c r="B12" s="3" t="s">
        <v>12</v>
      </c>
      <c r="C12" s="3">
        <f>B10-D10</f>
        <v>5835</v>
      </c>
    </row>
    <row r="13" spans="1:13" ht="21" x14ac:dyDescent="0.5">
      <c r="B13" s="3" t="s">
        <v>14</v>
      </c>
      <c r="C13" s="3">
        <f>C12-1500</f>
        <v>4335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300</v>
      </c>
      <c r="M23" s="7">
        <f t="shared" si="0"/>
        <v>300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102</v>
      </c>
      <c r="G25" s="42" t="s">
        <v>53</v>
      </c>
      <c r="H25" s="43"/>
      <c r="I25" s="43"/>
      <c r="J25" s="43"/>
      <c r="K25" s="43"/>
      <c r="L25" s="44"/>
      <c r="M25" s="7">
        <f>SUM(M15:M24)</f>
        <v>9900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  <pageSetup paperSize="9" scale="97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5"/>
  <sheetViews>
    <sheetView rightToLeft="1" workbookViewId="0">
      <selection sqref="A1:O15"/>
    </sheetView>
  </sheetViews>
  <sheetFormatPr defaultRowHeight="14.5" x14ac:dyDescent="0.35"/>
  <sheetData>
    <row r="1" spans="1:6" x14ac:dyDescent="0.35">
      <c r="A1" s="7" t="s">
        <v>88</v>
      </c>
      <c r="B1" s="7" t="s">
        <v>86</v>
      </c>
      <c r="C1" s="7" t="s">
        <v>87</v>
      </c>
      <c r="D1" s="7" t="s">
        <v>1</v>
      </c>
      <c r="E1" s="7" t="s">
        <v>89</v>
      </c>
    </row>
    <row r="2" spans="1:6" x14ac:dyDescent="0.35">
      <c r="A2" s="7" t="s">
        <v>85</v>
      </c>
      <c r="B2" s="7">
        <v>14795</v>
      </c>
      <c r="C2" s="7">
        <v>7660</v>
      </c>
      <c r="D2" s="7">
        <v>7600</v>
      </c>
      <c r="E2" s="7">
        <f t="shared" ref="E2:E7" si="0">SUM(C2-D2)</f>
        <v>60</v>
      </c>
    </row>
    <row r="3" spans="1:6" x14ac:dyDescent="0.35">
      <c r="A3" s="7" t="s">
        <v>90</v>
      </c>
      <c r="B3" s="7">
        <v>14795</v>
      </c>
      <c r="C3" s="7">
        <v>6300</v>
      </c>
      <c r="D3" s="7">
        <v>9725</v>
      </c>
      <c r="E3" s="7">
        <f t="shared" si="0"/>
        <v>-3425</v>
      </c>
    </row>
    <row r="4" spans="1:6" x14ac:dyDescent="0.35">
      <c r="A4" s="7" t="s">
        <v>91</v>
      </c>
      <c r="B4" s="7">
        <v>14995</v>
      </c>
      <c r="C4" s="7">
        <v>4200</v>
      </c>
      <c r="D4" s="7">
        <v>2300</v>
      </c>
      <c r="E4" s="7">
        <f t="shared" si="0"/>
        <v>1900</v>
      </c>
    </row>
    <row r="5" spans="1:6" x14ac:dyDescent="0.35">
      <c r="A5" s="7" t="s">
        <v>92</v>
      </c>
      <c r="B5" s="7">
        <v>15195</v>
      </c>
      <c r="C5" s="7">
        <v>4200</v>
      </c>
      <c r="D5" s="7">
        <v>2200</v>
      </c>
      <c r="E5" s="7">
        <f t="shared" si="0"/>
        <v>2000</v>
      </c>
    </row>
    <row r="6" spans="1:6" x14ac:dyDescent="0.35">
      <c r="A6" s="7" t="s">
        <v>93</v>
      </c>
      <c r="B6" s="7">
        <v>15395</v>
      </c>
      <c r="C6" s="7">
        <v>4200</v>
      </c>
      <c r="D6" s="7">
        <v>3300</v>
      </c>
      <c r="E6" s="7">
        <f t="shared" si="0"/>
        <v>900</v>
      </c>
    </row>
    <row r="7" spans="1:6" x14ac:dyDescent="0.35">
      <c r="A7" s="7" t="s">
        <v>94</v>
      </c>
      <c r="B7" s="7"/>
      <c r="C7" s="7"/>
      <c r="D7" s="7">
        <v>3975</v>
      </c>
      <c r="E7" s="7">
        <f t="shared" si="0"/>
        <v>-3975</v>
      </c>
    </row>
    <row r="8" spans="1:6" x14ac:dyDescent="0.35">
      <c r="E8" s="19">
        <f>SUM(E2:E7)</f>
        <v>-2540</v>
      </c>
      <c r="F8" t="s">
        <v>98</v>
      </c>
    </row>
    <row r="10" spans="1:6" ht="18.5" x14ac:dyDescent="0.45">
      <c r="A10" s="18" t="s">
        <v>13</v>
      </c>
    </row>
    <row r="11" spans="1:6" x14ac:dyDescent="0.35">
      <c r="A11" t="s">
        <v>95</v>
      </c>
    </row>
    <row r="12" spans="1:6" x14ac:dyDescent="0.35">
      <c r="A12" t="s">
        <v>96</v>
      </c>
    </row>
    <row r="13" spans="1:6" x14ac:dyDescent="0.35">
      <c r="A13" t="s">
        <v>97</v>
      </c>
    </row>
    <row r="15" spans="1:6" ht="18.5" x14ac:dyDescent="0.45">
      <c r="A15" s="13" t="s">
        <v>99</v>
      </c>
    </row>
  </sheetData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9"/>
  <sheetViews>
    <sheetView rightToLeft="1" workbookViewId="0">
      <selection sqref="A1:XFD1048576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5835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4600</v>
      </c>
      <c r="C4" s="1" t="s">
        <v>114</v>
      </c>
      <c r="D4" s="1">
        <v>1200</v>
      </c>
    </row>
    <row r="5" spans="1:13" ht="15.5" x14ac:dyDescent="0.35">
      <c r="A5" s="1"/>
      <c r="B5" s="1"/>
      <c r="C5" s="1" t="s">
        <v>143</v>
      </c>
      <c r="D5" s="1">
        <v>100</v>
      </c>
    </row>
    <row r="6" spans="1:13" ht="15.5" x14ac:dyDescent="0.35">
      <c r="A6" s="1"/>
      <c r="B6" s="1"/>
      <c r="C6" s="1" t="s">
        <v>144</v>
      </c>
      <c r="D6" s="1">
        <v>400</v>
      </c>
    </row>
    <row r="7" spans="1:13" ht="15.5" x14ac:dyDescent="0.35">
      <c r="A7" s="1"/>
      <c r="B7" s="1"/>
      <c r="C7" s="1" t="s">
        <v>145</v>
      </c>
      <c r="D7" s="1">
        <v>2000</v>
      </c>
      <c r="H7" s="23"/>
    </row>
    <row r="8" spans="1:13" ht="15.5" x14ac:dyDescent="0.35">
      <c r="A8" s="1"/>
      <c r="B8" s="1"/>
      <c r="C8" s="1" t="s">
        <v>146</v>
      </c>
      <c r="D8" s="1">
        <v>200</v>
      </c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10535</v>
      </c>
      <c r="C10" s="2"/>
      <c r="D10" s="2">
        <f>SUM(D2:D9)</f>
        <v>7150</v>
      </c>
    </row>
    <row r="12" spans="1:13" ht="21" x14ac:dyDescent="0.5">
      <c r="B12" s="3" t="s">
        <v>12</v>
      </c>
      <c r="C12" s="3">
        <f>B10-D10</f>
        <v>3385</v>
      </c>
    </row>
    <row r="13" spans="1:13" ht="21" x14ac:dyDescent="0.5">
      <c r="B13" s="3" t="s">
        <v>14</v>
      </c>
      <c r="C13" s="3">
        <f>C12-1500</f>
        <v>1885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300</v>
      </c>
      <c r="M23" s="7">
        <f t="shared" si="0"/>
        <v>300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102</v>
      </c>
      <c r="G25" s="42" t="s">
        <v>53</v>
      </c>
      <c r="H25" s="43"/>
      <c r="I25" s="43"/>
      <c r="J25" s="43"/>
      <c r="K25" s="43"/>
      <c r="L25" s="44"/>
      <c r="M25" s="7">
        <f>SUM(M15:M24)</f>
        <v>9900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29"/>
  <sheetViews>
    <sheetView rightToLeft="1" workbookViewId="0">
      <selection activeCell="C6" sqref="C6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3385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4400</v>
      </c>
      <c r="C4" s="1" t="s">
        <v>123</v>
      </c>
      <c r="D4" s="1">
        <v>200</v>
      </c>
    </row>
    <row r="5" spans="1:13" ht="15.5" x14ac:dyDescent="0.35">
      <c r="A5" s="1"/>
      <c r="B5" s="1"/>
      <c r="C5" s="1" t="s">
        <v>147</v>
      </c>
      <c r="D5" s="1">
        <v>150</v>
      </c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7885</v>
      </c>
      <c r="C10" s="2"/>
      <c r="D10" s="2">
        <f>SUM(D2:D9)</f>
        <v>3600</v>
      </c>
    </row>
    <row r="12" spans="1:13" ht="21" x14ac:dyDescent="0.5">
      <c r="B12" s="3" t="s">
        <v>12</v>
      </c>
      <c r="C12" s="3">
        <f>B10-D10</f>
        <v>4285</v>
      </c>
    </row>
    <row r="13" spans="1:13" ht="21" x14ac:dyDescent="0.5">
      <c r="B13" s="3" t="s">
        <v>14</v>
      </c>
      <c r="C13" s="3">
        <f>C12-1500</f>
        <v>2785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300</v>
      </c>
      <c r="M23" s="7">
        <f t="shared" si="0"/>
        <v>300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102</v>
      </c>
      <c r="G25" s="42" t="s">
        <v>53</v>
      </c>
      <c r="H25" s="43"/>
      <c r="I25" s="43"/>
      <c r="J25" s="43"/>
      <c r="K25" s="43"/>
      <c r="L25" s="44"/>
      <c r="M25" s="7">
        <f>SUM(M15:M24)</f>
        <v>9900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29"/>
  <sheetViews>
    <sheetView rightToLeft="1" workbookViewId="0">
      <selection activeCell="D15" sqref="D15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4285</v>
      </c>
      <c r="C2" s="1" t="s">
        <v>109</v>
      </c>
      <c r="D2" s="1">
        <v>2500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4400</v>
      </c>
      <c r="C4" s="1" t="s">
        <v>148</v>
      </c>
      <c r="D4" s="1">
        <v>100</v>
      </c>
    </row>
    <row r="5" spans="1:13" ht="15.5" x14ac:dyDescent="0.35">
      <c r="A5" s="1"/>
      <c r="B5" s="1"/>
      <c r="C5" s="1" t="s">
        <v>106</v>
      </c>
      <c r="D5" s="1">
        <v>50</v>
      </c>
    </row>
    <row r="6" spans="1:13" ht="15.5" x14ac:dyDescent="0.35">
      <c r="A6" s="1"/>
      <c r="B6" s="1"/>
      <c r="C6" s="1" t="s">
        <v>149</v>
      </c>
      <c r="D6" s="1">
        <v>2100</v>
      </c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8785</v>
      </c>
      <c r="C10" s="2"/>
      <c r="D10" s="2">
        <f>SUM(D2:D9)</f>
        <v>5000</v>
      </c>
    </row>
    <row r="12" spans="1:13" ht="21" x14ac:dyDescent="0.5">
      <c r="B12" s="3" t="s">
        <v>12</v>
      </c>
      <c r="C12" s="3">
        <f>B10-D10</f>
        <v>3785</v>
      </c>
    </row>
    <row r="13" spans="1:13" ht="21" x14ac:dyDescent="0.5">
      <c r="B13" s="3" t="s">
        <v>14</v>
      </c>
      <c r="C13" s="3">
        <f>C12-1500</f>
        <v>2285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300</v>
      </c>
      <c r="M23" s="7">
        <f t="shared" si="0"/>
        <v>300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102</v>
      </c>
      <c r="G25" s="42" t="s">
        <v>53</v>
      </c>
      <c r="H25" s="43"/>
      <c r="I25" s="43"/>
      <c r="J25" s="43"/>
      <c r="K25" s="43"/>
      <c r="L25" s="44"/>
      <c r="M25" s="7">
        <f>SUM(M15:M24)</f>
        <v>9900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29"/>
  <sheetViews>
    <sheetView rightToLeft="1" workbookViewId="0">
      <selection activeCell="B7" sqref="B7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3785</v>
      </c>
      <c r="C2" s="1" t="s">
        <v>109</v>
      </c>
      <c r="D2" s="1">
        <v>3020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4400</v>
      </c>
      <c r="C4" s="1" t="s">
        <v>152</v>
      </c>
      <c r="D4" s="1">
        <v>60</v>
      </c>
    </row>
    <row r="5" spans="1:13" ht="15.5" x14ac:dyDescent="0.35">
      <c r="A5" s="1" t="s">
        <v>150</v>
      </c>
      <c r="B5" s="1">
        <v>100</v>
      </c>
      <c r="C5" s="1" t="s">
        <v>153</v>
      </c>
      <c r="D5" s="1">
        <v>20</v>
      </c>
    </row>
    <row r="6" spans="1:13" ht="15.5" x14ac:dyDescent="0.35">
      <c r="A6" s="1"/>
      <c r="B6" s="1"/>
      <c r="C6" s="1" t="s">
        <v>100</v>
      </c>
      <c r="D6" s="1">
        <v>1600</v>
      </c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8385</v>
      </c>
      <c r="C10" s="2"/>
      <c r="D10" s="2">
        <f>SUM(D2:D9)</f>
        <v>4950</v>
      </c>
    </row>
    <row r="12" spans="1:13" ht="21" x14ac:dyDescent="0.5">
      <c r="B12" s="3" t="s">
        <v>12</v>
      </c>
      <c r="C12" s="3">
        <f>B10-D10</f>
        <v>3435</v>
      </c>
    </row>
    <row r="13" spans="1:13" ht="21" x14ac:dyDescent="0.5">
      <c r="B13" s="3" t="s">
        <v>14</v>
      </c>
      <c r="C13" s="3">
        <f>C12-1500</f>
        <v>1935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 t="s">
        <v>151</v>
      </c>
      <c r="C22">
        <v>100</v>
      </c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200</v>
      </c>
      <c r="M23" s="7">
        <f t="shared" si="0"/>
        <v>200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102</v>
      </c>
      <c r="G25" s="42" t="s">
        <v>53</v>
      </c>
      <c r="H25" s="43"/>
      <c r="I25" s="43"/>
      <c r="J25" s="43"/>
      <c r="K25" s="43"/>
      <c r="L25" s="44"/>
      <c r="M25" s="7">
        <f>SUM(M15:M24)</f>
        <v>9800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29"/>
  <sheetViews>
    <sheetView rightToLeft="1" topLeftCell="A2" workbookViewId="0">
      <selection activeCell="B8" sqref="B8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3435</v>
      </c>
      <c r="C2" s="1" t="s">
        <v>109</v>
      </c>
      <c r="D2" s="1">
        <v>2500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5400</v>
      </c>
      <c r="C4" s="1" t="s">
        <v>106</v>
      </c>
      <c r="D4" s="1">
        <v>85</v>
      </c>
    </row>
    <row r="5" spans="1:13" ht="15.5" x14ac:dyDescent="0.35">
      <c r="A5" s="1"/>
      <c r="B5" s="1"/>
      <c r="C5" s="1" t="s">
        <v>100</v>
      </c>
      <c r="D5" s="1">
        <v>800</v>
      </c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8935</v>
      </c>
      <c r="C10" s="2"/>
      <c r="D10" s="2">
        <f>SUM(D2:D9)</f>
        <v>3635</v>
      </c>
    </row>
    <row r="12" spans="1:13" ht="21" x14ac:dyDescent="0.5">
      <c r="B12" s="3" t="s">
        <v>12</v>
      </c>
      <c r="C12" s="3">
        <f>B10-D10</f>
        <v>5300</v>
      </c>
    </row>
    <row r="13" spans="1:13" ht="21" x14ac:dyDescent="0.5">
      <c r="B13" s="3" t="s">
        <v>14</v>
      </c>
      <c r="C13" s="3">
        <f>C12-1500</f>
        <v>3800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200</v>
      </c>
      <c r="M23" s="7">
        <f t="shared" si="0"/>
        <v>200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154</v>
      </c>
      <c r="G25" s="42" t="s">
        <v>53</v>
      </c>
      <c r="H25" s="43"/>
      <c r="I25" s="43"/>
      <c r="J25" s="43"/>
      <c r="K25" s="43"/>
      <c r="L25" s="44"/>
      <c r="M25" s="7">
        <f>SUM(M15:M24)</f>
        <v>9800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29"/>
  <sheetViews>
    <sheetView rightToLeft="1" workbookViewId="0">
      <selection activeCell="D3" sqref="D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5300</v>
      </c>
      <c r="C2" s="1" t="s">
        <v>109</v>
      </c>
      <c r="D2" s="1">
        <v>3000</v>
      </c>
    </row>
    <row r="3" spans="1:13" ht="15.5" x14ac:dyDescent="0.35">
      <c r="A3" s="1"/>
      <c r="B3" s="1"/>
      <c r="C3" s="1" t="s">
        <v>118</v>
      </c>
      <c r="D3" s="1">
        <v>250</v>
      </c>
    </row>
    <row r="4" spans="1:13" ht="15.5" x14ac:dyDescent="0.35">
      <c r="A4" s="1" t="s">
        <v>8</v>
      </c>
      <c r="B4" s="1">
        <v>5175</v>
      </c>
      <c r="C4" s="1" t="s">
        <v>106</v>
      </c>
      <c r="D4" s="1">
        <v>75</v>
      </c>
    </row>
    <row r="5" spans="1:13" ht="15.5" x14ac:dyDescent="0.35">
      <c r="A5" s="1"/>
      <c r="B5" s="1"/>
      <c r="C5" s="1" t="s">
        <v>100</v>
      </c>
      <c r="D5" s="1">
        <v>500</v>
      </c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10475</v>
      </c>
      <c r="C10" s="2"/>
      <c r="D10" s="2">
        <f>SUM(D2:D9)</f>
        <v>3825</v>
      </c>
    </row>
    <row r="12" spans="1:13" ht="21" x14ac:dyDescent="0.5">
      <c r="B12" s="3" t="s">
        <v>12</v>
      </c>
      <c r="C12" s="3">
        <f>B10-D10</f>
        <v>6650</v>
      </c>
    </row>
    <row r="13" spans="1:13" ht="21" x14ac:dyDescent="0.5">
      <c r="B13" s="3" t="s">
        <v>14</v>
      </c>
      <c r="C13" s="3">
        <f>C12-1500</f>
        <v>5150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200</v>
      </c>
      <c r="M23" s="7">
        <f t="shared" si="0"/>
        <v>200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9800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29"/>
  <sheetViews>
    <sheetView rightToLeft="1" workbookViewId="0">
      <selection activeCell="B3" sqref="B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6650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4950</v>
      </c>
      <c r="C4" s="1" t="s">
        <v>106</v>
      </c>
      <c r="D4" s="1">
        <v>50</v>
      </c>
    </row>
    <row r="5" spans="1:13" ht="15.5" x14ac:dyDescent="0.35">
      <c r="A5" s="1"/>
      <c r="B5" s="1"/>
      <c r="C5" s="1" t="s">
        <v>156</v>
      </c>
      <c r="D5" s="1">
        <v>2500</v>
      </c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11700</v>
      </c>
      <c r="C10" s="2"/>
      <c r="D10" s="2">
        <f>SUM(D2:D9)</f>
        <v>5800</v>
      </c>
    </row>
    <row r="12" spans="1:13" ht="21" x14ac:dyDescent="0.5">
      <c r="B12" s="3" t="s">
        <v>12</v>
      </c>
      <c r="C12" s="3">
        <f>B10-D10</f>
        <v>5900</v>
      </c>
    </row>
    <row r="13" spans="1:13" ht="21" x14ac:dyDescent="0.5">
      <c r="B13" s="3" t="s">
        <v>14</v>
      </c>
      <c r="C13" s="3">
        <f>C12-1500</f>
        <v>4400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200</v>
      </c>
      <c r="M23" s="7">
        <f t="shared" si="0"/>
        <v>200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9800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29"/>
  <sheetViews>
    <sheetView rightToLeft="1" topLeftCell="A2" workbookViewId="0">
      <selection activeCell="D3" sqref="D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5900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4950</v>
      </c>
      <c r="C4" s="1" t="s">
        <v>106</v>
      </c>
      <c r="D4" s="1">
        <v>50</v>
      </c>
    </row>
    <row r="5" spans="1:13" ht="15.5" x14ac:dyDescent="0.35">
      <c r="A5" s="1"/>
      <c r="B5" s="1"/>
      <c r="C5" s="1" t="s">
        <v>156</v>
      </c>
      <c r="D5" s="1">
        <v>2700</v>
      </c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10950</v>
      </c>
      <c r="C10" s="2"/>
      <c r="D10" s="2">
        <f>SUM(D2:D9)</f>
        <v>6000</v>
      </c>
    </row>
    <row r="12" spans="1:13" ht="21" x14ac:dyDescent="0.5">
      <c r="B12" s="3" t="s">
        <v>12</v>
      </c>
      <c r="C12" s="3">
        <f>B10-D10</f>
        <v>4950</v>
      </c>
    </row>
    <row r="13" spans="1:13" ht="21" x14ac:dyDescent="0.5">
      <c r="B13" s="3" t="s">
        <v>14</v>
      </c>
      <c r="C13" s="3">
        <f>C12-1500</f>
        <v>3450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200</v>
      </c>
      <c r="M23" s="7">
        <f t="shared" si="0"/>
        <v>200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159</v>
      </c>
      <c r="G25" s="42" t="s">
        <v>53</v>
      </c>
      <c r="H25" s="43"/>
      <c r="I25" s="43"/>
      <c r="J25" s="43"/>
      <c r="K25" s="43"/>
      <c r="L25" s="44"/>
      <c r="M25" s="7">
        <f>SUM(M15:M24)</f>
        <v>9800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29"/>
  <sheetViews>
    <sheetView rightToLeft="1" workbookViewId="0">
      <selection activeCell="D3" sqref="D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4950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5175</v>
      </c>
      <c r="C4" s="1" t="s">
        <v>106</v>
      </c>
      <c r="D4" s="1">
        <v>25</v>
      </c>
    </row>
    <row r="5" spans="1:13" ht="15.5" x14ac:dyDescent="0.35">
      <c r="A5" s="1"/>
      <c r="B5" s="1"/>
      <c r="C5" s="1"/>
      <c r="D5" s="1"/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10225</v>
      </c>
      <c r="C10" s="2"/>
      <c r="D10" s="2">
        <f>SUM(D2:D9)</f>
        <v>3275</v>
      </c>
    </row>
    <row r="12" spans="1:13" ht="21" x14ac:dyDescent="0.5">
      <c r="B12" s="3" t="s">
        <v>12</v>
      </c>
      <c r="C12" s="3">
        <f>B10-D10</f>
        <v>6950</v>
      </c>
    </row>
    <row r="13" spans="1:13" ht="21" x14ac:dyDescent="0.5">
      <c r="B13" s="3" t="s">
        <v>14</v>
      </c>
      <c r="C13" s="3">
        <f>C12-1500</f>
        <v>5450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200</v>
      </c>
      <c r="M23" s="7">
        <f t="shared" si="0"/>
        <v>200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9800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29"/>
  <sheetViews>
    <sheetView rightToLeft="1" workbookViewId="0">
      <selection activeCell="D3" sqref="D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6950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5175</v>
      </c>
      <c r="C4" s="1" t="s">
        <v>106</v>
      </c>
      <c r="D4" s="1">
        <v>50</v>
      </c>
    </row>
    <row r="5" spans="1:13" ht="15.5" x14ac:dyDescent="0.35">
      <c r="A5" s="1"/>
      <c r="B5" s="1"/>
      <c r="C5" s="1" t="s">
        <v>114</v>
      </c>
      <c r="D5" s="1">
        <v>1350</v>
      </c>
    </row>
    <row r="6" spans="1:13" ht="15.5" x14ac:dyDescent="0.35">
      <c r="A6" s="1"/>
      <c r="B6" s="1"/>
      <c r="C6" s="1"/>
      <c r="D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12225</v>
      </c>
      <c r="C10" s="2"/>
      <c r="D10" s="2">
        <f>SUM(D2:D9)</f>
        <v>4650</v>
      </c>
    </row>
    <row r="12" spans="1:13" ht="21" x14ac:dyDescent="0.5">
      <c r="B12" s="3" t="s">
        <v>12</v>
      </c>
      <c r="C12" s="3">
        <f>B10-D10</f>
        <v>7575</v>
      </c>
    </row>
    <row r="13" spans="1:13" ht="21" x14ac:dyDescent="0.5">
      <c r="B13" s="3" t="s">
        <v>14</v>
      </c>
      <c r="C13" s="3">
        <f>C12-1500</f>
        <v>6075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200</v>
      </c>
      <c r="M23" s="7">
        <f t="shared" si="0"/>
        <v>200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9800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29"/>
  <sheetViews>
    <sheetView rightToLeft="1" workbookViewId="0">
      <selection activeCell="D3" sqref="D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7575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5175</v>
      </c>
      <c r="C4" s="1" t="s">
        <v>106</v>
      </c>
      <c r="D4" s="1">
        <v>25</v>
      </c>
    </row>
    <row r="5" spans="1:13" ht="15.5" x14ac:dyDescent="0.35">
      <c r="A5" s="1"/>
      <c r="B5" s="1"/>
      <c r="C5" s="1" t="s">
        <v>157</v>
      </c>
      <c r="D5" s="1">
        <v>1800</v>
      </c>
    </row>
    <row r="6" spans="1:13" ht="15.5" x14ac:dyDescent="0.35">
      <c r="A6" s="1"/>
      <c r="B6" s="1"/>
      <c r="C6" s="1" t="s">
        <v>158</v>
      </c>
      <c r="D6" s="1">
        <v>1950</v>
      </c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12750</v>
      </c>
      <c r="C10" s="2"/>
      <c r="D10" s="2">
        <f>SUM(D2:D9)</f>
        <v>7025</v>
      </c>
    </row>
    <row r="12" spans="1:13" ht="21" x14ac:dyDescent="0.5">
      <c r="B12" s="3" t="s">
        <v>12</v>
      </c>
      <c r="C12" s="3">
        <f>B10-D10</f>
        <v>5725</v>
      </c>
    </row>
    <row r="13" spans="1:13" ht="21" x14ac:dyDescent="0.5">
      <c r="B13" s="3" t="s">
        <v>14</v>
      </c>
      <c r="C13" s="3">
        <f>C12-1500</f>
        <v>4225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44</v>
      </c>
      <c r="H23" s="7" t="s">
        <v>45</v>
      </c>
      <c r="I23" s="7"/>
      <c r="J23" s="7"/>
      <c r="K23" s="7"/>
      <c r="L23" s="7">
        <v>200</v>
      </c>
      <c r="M23" s="7">
        <f t="shared" si="0"/>
        <v>200</v>
      </c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9800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29"/>
  <sheetViews>
    <sheetView rightToLeft="1" workbookViewId="0">
      <selection activeCell="F23" sqref="F2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5725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5175</v>
      </c>
      <c r="C4" s="1" t="s">
        <v>106</v>
      </c>
      <c r="D4" s="1">
        <v>50</v>
      </c>
    </row>
    <row r="5" spans="1:13" ht="15.5" x14ac:dyDescent="0.35">
      <c r="A5" s="1"/>
      <c r="B5" s="1"/>
      <c r="C5" s="1" t="s">
        <v>157</v>
      </c>
      <c r="D5" s="1"/>
    </row>
    <row r="6" spans="1:13" ht="15.5" x14ac:dyDescent="0.35">
      <c r="A6" s="1"/>
      <c r="B6" s="1"/>
      <c r="C6" s="1" t="s">
        <v>158</v>
      </c>
      <c r="D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11000</v>
      </c>
      <c r="C10" s="2"/>
      <c r="D10" s="2">
        <f>SUM(D2:D9)</f>
        <v>3300</v>
      </c>
    </row>
    <row r="12" spans="1:13" ht="21" x14ac:dyDescent="0.5">
      <c r="B12" s="3" t="s">
        <v>12</v>
      </c>
      <c r="C12" s="3">
        <f>B10-D10</f>
        <v>7700</v>
      </c>
    </row>
    <row r="13" spans="1:13" ht="21" x14ac:dyDescent="0.5">
      <c r="B13" s="3" t="s">
        <v>14</v>
      </c>
      <c r="C13" s="3">
        <f>C12-1500</f>
        <v>6200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/>
      <c r="H23" s="7"/>
      <c r="I23" s="7"/>
      <c r="J23" s="7"/>
      <c r="K23" s="7"/>
      <c r="L23" s="7"/>
      <c r="M23" s="7"/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9600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29"/>
  <sheetViews>
    <sheetView rightToLeft="1" workbookViewId="0">
      <selection activeCell="G23" sqref="G23:M2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7700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200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5400</v>
      </c>
      <c r="C4" s="1" t="s">
        <v>106</v>
      </c>
      <c r="D4" s="1"/>
    </row>
    <row r="5" spans="1:13" ht="15.5" x14ac:dyDescent="0.35">
      <c r="A5" s="1"/>
      <c r="B5" s="1"/>
      <c r="C5" s="1" t="s">
        <v>132</v>
      </c>
      <c r="D5" s="1">
        <v>2000</v>
      </c>
    </row>
    <row r="6" spans="1:13" ht="15.5" x14ac:dyDescent="0.35">
      <c r="A6" s="1"/>
      <c r="B6" s="1"/>
      <c r="C6" s="1" t="s">
        <v>158</v>
      </c>
      <c r="D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13300</v>
      </c>
      <c r="C10" s="2"/>
      <c r="D10" s="2">
        <f>SUM(D2:D9)</f>
        <v>5250</v>
      </c>
    </row>
    <row r="12" spans="1:13" ht="21" x14ac:dyDescent="0.5">
      <c r="B12" s="3" t="s">
        <v>12</v>
      </c>
      <c r="C12" s="3">
        <f>B10-D10</f>
        <v>8050</v>
      </c>
    </row>
    <row r="13" spans="1:13" ht="21" x14ac:dyDescent="0.5">
      <c r="B13" s="3" t="s">
        <v>14</v>
      </c>
      <c r="C13" s="3">
        <f>C12-1500</f>
        <v>6550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/>
      <c r="H23" s="7"/>
      <c r="I23" s="7"/>
      <c r="J23" s="7"/>
      <c r="K23" s="7"/>
      <c r="L23" s="7"/>
      <c r="M23" s="7"/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9600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29"/>
  <sheetViews>
    <sheetView rightToLeft="1" workbookViewId="0">
      <selection activeCell="G23" sqref="G23:M2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8050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5050</v>
      </c>
      <c r="C4" s="1" t="s">
        <v>106</v>
      </c>
      <c r="D4" s="1">
        <v>200</v>
      </c>
    </row>
    <row r="5" spans="1:13" ht="15.5" x14ac:dyDescent="0.35">
      <c r="A5" s="1"/>
      <c r="B5" s="1"/>
      <c r="C5" s="1" t="s">
        <v>157</v>
      </c>
      <c r="D5" s="1"/>
    </row>
    <row r="6" spans="1:13" ht="15.5" x14ac:dyDescent="0.35">
      <c r="A6" s="1"/>
      <c r="B6" s="1"/>
      <c r="C6" s="1" t="s">
        <v>158</v>
      </c>
      <c r="D6" s="1">
        <v>450</v>
      </c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13200</v>
      </c>
      <c r="C10" s="2"/>
      <c r="D10" s="2">
        <f>SUM(D2:D9)</f>
        <v>3900</v>
      </c>
    </row>
    <row r="12" spans="1:13" ht="21" x14ac:dyDescent="0.5">
      <c r="B12" s="3" t="s">
        <v>12</v>
      </c>
      <c r="C12" s="3">
        <f>B10-D10</f>
        <v>9300</v>
      </c>
    </row>
    <row r="13" spans="1:13" ht="21" x14ac:dyDescent="0.5">
      <c r="B13" s="3" t="s">
        <v>14</v>
      </c>
      <c r="C13" s="3">
        <f>C12-1500</f>
        <v>7800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/>
      <c r="H23" s="7"/>
      <c r="I23" s="7"/>
      <c r="J23" s="7"/>
      <c r="K23" s="7"/>
      <c r="L23" s="7"/>
      <c r="M23" s="7"/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9600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29"/>
  <sheetViews>
    <sheetView rightToLeft="1" workbookViewId="0">
      <selection activeCell="G23" sqref="G23:M2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9300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5175</v>
      </c>
      <c r="C4" s="1" t="s">
        <v>106</v>
      </c>
      <c r="D4" s="1">
        <v>50</v>
      </c>
    </row>
    <row r="5" spans="1:13" ht="15.5" x14ac:dyDescent="0.35">
      <c r="A5" s="1"/>
      <c r="B5" s="1"/>
      <c r="C5" s="1" t="s">
        <v>157</v>
      </c>
      <c r="D5" s="1"/>
    </row>
    <row r="6" spans="1:13" ht="15.5" x14ac:dyDescent="0.35">
      <c r="A6" s="1"/>
      <c r="B6" s="1"/>
      <c r="C6" s="1" t="s">
        <v>158</v>
      </c>
      <c r="D6" s="1">
        <v>450</v>
      </c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14575</v>
      </c>
      <c r="C10" s="2"/>
      <c r="D10" s="2">
        <f>SUM(D2:D9)</f>
        <v>3750</v>
      </c>
    </row>
    <row r="12" spans="1:13" ht="21" x14ac:dyDescent="0.5">
      <c r="B12" s="3" t="s">
        <v>12</v>
      </c>
      <c r="C12" s="3">
        <f>B10-D10</f>
        <v>10825</v>
      </c>
    </row>
    <row r="13" spans="1:13" ht="21" x14ac:dyDescent="0.5">
      <c r="B13" s="3" t="s">
        <v>14</v>
      </c>
      <c r="C13" s="3">
        <f>C12-1500</f>
        <v>9325</v>
      </c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>
        <v>1500</v>
      </c>
      <c r="B18" s="6" t="s">
        <v>15</v>
      </c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/>
      <c r="H23" s="7"/>
      <c r="I23" s="7"/>
      <c r="J23" s="7"/>
      <c r="K23" s="7"/>
      <c r="L23" s="7"/>
      <c r="M23" s="7"/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9600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29"/>
  <sheetViews>
    <sheetView rightToLeft="1" topLeftCell="A14" workbookViewId="0">
      <selection activeCell="B5" sqref="B5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10825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2175</v>
      </c>
      <c r="C4" s="1" t="s">
        <v>106</v>
      </c>
      <c r="D4" s="1">
        <v>100</v>
      </c>
    </row>
    <row r="5" spans="1:13" ht="15.5" x14ac:dyDescent="0.35">
      <c r="A5" s="1"/>
      <c r="B5" s="1"/>
      <c r="C5" s="1" t="s">
        <v>157</v>
      </c>
      <c r="D5" s="1"/>
    </row>
    <row r="6" spans="1:13" ht="15.5" x14ac:dyDescent="0.35">
      <c r="A6" s="1"/>
      <c r="B6" s="1"/>
      <c r="C6" s="1" t="s">
        <v>158</v>
      </c>
      <c r="D6" s="1">
        <v>400</v>
      </c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13100</v>
      </c>
      <c r="C10" s="2"/>
      <c r="D10" s="2">
        <f>SUM(D2:D9)</f>
        <v>3750</v>
      </c>
    </row>
    <row r="12" spans="1:13" ht="21" x14ac:dyDescent="0.5">
      <c r="B12" s="3" t="s">
        <v>12</v>
      </c>
      <c r="C12" s="3">
        <f>B10-D10</f>
        <v>9350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/>
      <c r="B18" s="6"/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/>
      <c r="H23" s="7"/>
      <c r="I23" s="7"/>
      <c r="J23" s="7"/>
      <c r="K23" s="7"/>
      <c r="L23" s="7"/>
      <c r="M23" s="7"/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9600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29"/>
  <sheetViews>
    <sheetView rightToLeft="1" workbookViewId="0">
      <selection activeCell="B3" sqref="B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9350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5175</v>
      </c>
      <c r="C4" s="1" t="s">
        <v>106</v>
      </c>
      <c r="D4" s="1">
        <v>75</v>
      </c>
    </row>
    <row r="5" spans="1:13" ht="15.5" x14ac:dyDescent="0.35">
      <c r="A5" s="1"/>
      <c r="B5" s="1"/>
      <c r="C5" s="1" t="s">
        <v>157</v>
      </c>
      <c r="D5" s="1"/>
    </row>
    <row r="6" spans="1:13" ht="15.5" x14ac:dyDescent="0.35">
      <c r="A6" s="1"/>
      <c r="B6" s="1"/>
      <c r="C6" s="1" t="s">
        <v>158</v>
      </c>
      <c r="D6" s="1">
        <v>150</v>
      </c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14625</v>
      </c>
      <c r="C10" s="2"/>
      <c r="D10" s="2">
        <f>SUM(D2:D9)</f>
        <v>3475</v>
      </c>
    </row>
    <row r="12" spans="1:13" ht="21" x14ac:dyDescent="0.5">
      <c r="B12" s="3" t="s">
        <v>12</v>
      </c>
      <c r="C12" s="3">
        <f>B10-D10</f>
        <v>11150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/>
      <c r="B18" s="6"/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/>
      <c r="H23" s="7"/>
      <c r="I23" s="7"/>
      <c r="J23" s="7"/>
      <c r="K23" s="7"/>
      <c r="L23" s="7"/>
      <c r="M23" s="7"/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9600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29"/>
  <sheetViews>
    <sheetView rightToLeft="1" workbookViewId="0">
      <selection activeCell="J2" sqref="J2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11150</v>
      </c>
      <c r="C2" s="1" t="s">
        <v>109</v>
      </c>
      <c r="D2" s="1">
        <v>3020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250</v>
      </c>
    </row>
    <row r="4" spans="1:13" ht="15.5" x14ac:dyDescent="0.35">
      <c r="A4" s="1" t="s">
        <v>8</v>
      </c>
      <c r="B4" s="1">
        <v>4950</v>
      </c>
      <c r="C4" s="1" t="s">
        <v>106</v>
      </c>
      <c r="D4" s="1">
        <v>30</v>
      </c>
    </row>
    <row r="5" spans="1:13" ht="15.5" x14ac:dyDescent="0.35">
      <c r="A5" s="1"/>
      <c r="B5" s="1"/>
      <c r="C5" s="1" t="s">
        <v>157</v>
      </c>
      <c r="D5" s="1">
        <v>1400</v>
      </c>
    </row>
    <row r="6" spans="1:13" ht="15.5" x14ac:dyDescent="0.35">
      <c r="A6" s="1"/>
      <c r="B6" s="1"/>
      <c r="C6" s="1" t="s">
        <v>160</v>
      </c>
      <c r="D6" s="1">
        <v>100</v>
      </c>
    </row>
    <row r="7" spans="1:13" ht="15.5" x14ac:dyDescent="0.35">
      <c r="A7" s="1"/>
      <c r="B7" s="1"/>
      <c r="C7" s="7"/>
      <c r="D7" s="7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16200</v>
      </c>
      <c r="C10" s="2"/>
      <c r="D10" s="2">
        <f>SUM(D2:D9)</f>
        <v>4800</v>
      </c>
    </row>
    <row r="12" spans="1:13" ht="21" x14ac:dyDescent="0.5">
      <c r="B12" s="3" t="s">
        <v>12</v>
      </c>
      <c r="C12" s="3">
        <f>B10-D10</f>
        <v>11400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/>
      <c r="B18" s="6"/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/>
      <c r="H23" s="7"/>
      <c r="I23" s="7"/>
      <c r="J23" s="7"/>
      <c r="K23" s="7"/>
      <c r="L23" s="7"/>
      <c r="M23" s="7"/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9600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29"/>
  <sheetViews>
    <sheetView rightToLeft="1" workbookViewId="0">
      <selection activeCell="B3" sqref="B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11400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300</v>
      </c>
    </row>
    <row r="4" spans="1:13" ht="15.5" x14ac:dyDescent="0.35">
      <c r="A4" s="1" t="s">
        <v>8</v>
      </c>
      <c r="B4" s="1">
        <v>5375</v>
      </c>
      <c r="C4" s="1" t="s">
        <v>106</v>
      </c>
      <c r="D4" s="1">
        <v>50</v>
      </c>
    </row>
    <row r="5" spans="1:13" ht="15.5" x14ac:dyDescent="0.35">
      <c r="A5" s="1"/>
      <c r="B5" s="1"/>
      <c r="C5" s="1" t="s">
        <v>160</v>
      </c>
      <c r="D5" s="1">
        <v>100</v>
      </c>
    </row>
    <row r="6" spans="1:13" ht="15.5" x14ac:dyDescent="0.35">
      <c r="A6" s="1"/>
      <c r="B6" s="1"/>
      <c r="C6" s="1" t="s">
        <v>31</v>
      </c>
      <c r="D6" s="24">
        <v>200</v>
      </c>
    </row>
    <row r="7" spans="1:13" ht="15.5" x14ac:dyDescent="0.35">
      <c r="A7" s="1"/>
      <c r="B7" s="1"/>
      <c r="C7" s="1" t="s">
        <v>161</v>
      </c>
      <c r="D7" s="1">
        <v>100</v>
      </c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16875</v>
      </c>
      <c r="C10" s="2"/>
      <c r="D10" s="2">
        <f>SUM(D2:D9)</f>
        <v>3750</v>
      </c>
    </row>
    <row r="12" spans="1:13" ht="21" x14ac:dyDescent="0.5">
      <c r="B12" s="3" t="s">
        <v>12</v>
      </c>
      <c r="C12" s="3">
        <f>B10-D10</f>
        <v>13125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C15">
        <f>SUM(C12-3000)</f>
        <v>10125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8" t="s">
        <v>35</v>
      </c>
      <c r="H17" s="8" t="s">
        <v>36</v>
      </c>
      <c r="I17" s="22">
        <v>500</v>
      </c>
      <c r="J17" s="8"/>
      <c r="K17" s="8"/>
      <c r="L17" s="8"/>
      <c r="M17" s="8">
        <f>SUM(I17:L17)</f>
        <v>500</v>
      </c>
    </row>
    <row r="18" spans="1:13" ht="18.5" x14ac:dyDescent="0.45">
      <c r="A18" s="5"/>
      <c r="B18" s="6"/>
      <c r="C18" s="6"/>
      <c r="D18" s="6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/>
      <c r="H23" s="7"/>
      <c r="I23" s="7"/>
      <c r="J23" s="7"/>
      <c r="K23" s="7"/>
      <c r="L23" s="7"/>
      <c r="M23" s="7"/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9600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4">
    <mergeCell ref="A1:B1"/>
    <mergeCell ref="C1:D1"/>
    <mergeCell ref="G13:I13"/>
    <mergeCell ref="G25:L2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29"/>
  <sheetViews>
    <sheetView rightToLeft="1" topLeftCell="A6" workbookViewId="0">
      <selection activeCell="D6" sqref="D6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13125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300</v>
      </c>
    </row>
    <row r="4" spans="1:13" ht="15.5" x14ac:dyDescent="0.35">
      <c r="A4" s="1" t="s">
        <v>8</v>
      </c>
      <c r="B4" s="1">
        <v>5750</v>
      </c>
      <c r="C4" s="1" t="s">
        <v>106</v>
      </c>
      <c r="D4" s="1">
        <v>45</v>
      </c>
    </row>
    <row r="5" spans="1:13" ht="15.5" x14ac:dyDescent="0.35">
      <c r="A5" s="1"/>
      <c r="B5" s="1"/>
      <c r="C5" s="1" t="s">
        <v>114</v>
      </c>
      <c r="D5" s="1">
        <v>2450</v>
      </c>
    </row>
    <row r="6" spans="1:13" ht="15.5" x14ac:dyDescent="0.35">
      <c r="A6" s="1"/>
      <c r="B6" s="1"/>
      <c r="C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18975</v>
      </c>
      <c r="C10" s="2"/>
      <c r="D10" s="2">
        <f>SUM(D2:D9)</f>
        <v>5795</v>
      </c>
    </row>
    <row r="12" spans="1:13" ht="21" x14ac:dyDescent="0.5">
      <c r="B12" s="3" t="s">
        <v>12</v>
      </c>
      <c r="C12" s="3">
        <f>B10-D10</f>
        <v>13180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C15">
        <f>SUM(C12-3000)</f>
        <v>10180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 t="s">
        <v>162</v>
      </c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3" ht="18.5" x14ac:dyDescent="0.45">
      <c r="A18" s="5"/>
      <c r="B18" s="48" t="s">
        <v>163</v>
      </c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/>
      <c r="H23" s="7"/>
      <c r="I23" s="7"/>
      <c r="J23" s="7"/>
      <c r="K23" s="7"/>
      <c r="L23" s="7"/>
      <c r="M23" s="7"/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155</v>
      </c>
      <c r="G25" s="42" t="s">
        <v>53</v>
      </c>
      <c r="H25" s="43"/>
      <c r="I25" s="43"/>
      <c r="J25" s="43"/>
      <c r="K25" s="43"/>
      <c r="L25" s="44"/>
      <c r="M25" s="7">
        <f>SUM(M15:M24)</f>
        <v>9600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5">
    <mergeCell ref="A1:B1"/>
    <mergeCell ref="C1:D1"/>
    <mergeCell ref="G13:I13"/>
    <mergeCell ref="G25:L25"/>
    <mergeCell ref="B18:E1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M29"/>
  <sheetViews>
    <sheetView rightToLeft="1" workbookViewId="0">
      <selection activeCell="D5" sqref="D5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13180</v>
      </c>
      <c r="C2" s="1" t="s">
        <v>109</v>
      </c>
      <c r="D2" s="1">
        <v>3020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300</v>
      </c>
    </row>
    <row r="4" spans="1:13" ht="15.5" x14ac:dyDescent="0.35">
      <c r="A4" s="1" t="s">
        <v>8</v>
      </c>
      <c r="B4" s="1">
        <v>5750</v>
      </c>
      <c r="C4" s="1" t="s">
        <v>106</v>
      </c>
      <c r="D4" s="1">
        <v>110</v>
      </c>
    </row>
    <row r="5" spans="1:13" ht="15.5" x14ac:dyDescent="0.35">
      <c r="A5" s="1"/>
      <c r="B5" s="1"/>
      <c r="C5" s="1" t="s">
        <v>157</v>
      </c>
      <c r="D5" s="1">
        <v>2300</v>
      </c>
    </row>
    <row r="6" spans="1:13" ht="15.5" x14ac:dyDescent="0.35">
      <c r="A6" s="1"/>
      <c r="B6" s="1"/>
      <c r="C6" s="1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19030</v>
      </c>
      <c r="C10" s="2"/>
      <c r="D10" s="2">
        <f>SUM(D2:D9)</f>
        <v>5730</v>
      </c>
    </row>
    <row r="12" spans="1:13" ht="21" x14ac:dyDescent="0.5">
      <c r="B12" s="3" t="s">
        <v>12</v>
      </c>
      <c r="C12" s="3">
        <f>B10-D10</f>
        <v>13300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 t="s">
        <v>162</v>
      </c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3" ht="18.5" x14ac:dyDescent="0.45">
      <c r="A18" s="5"/>
      <c r="B18" s="48" t="s">
        <v>164</v>
      </c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/>
      <c r="H23" s="7"/>
      <c r="I23" s="7"/>
      <c r="J23" s="7"/>
      <c r="K23" s="7"/>
      <c r="L23" s="7"/>
      <c r="M23" s="7"/>
    </row>
    <row r="24" spans="1:13" ht="18.5" x14ac:dyDescent="0.45">
      <c r="B24" s="6"/>
      <c r="G24" s="7" t="s">
        <v>50</v>
      </c>
      <c r="H24" s="7" t="s">
        <v>51</v>
      </c>
      <c r="I24" s="7">
        <v>500</v>
      </c>
      <c r="J24" s="10">
        <v>300</v>
      </c>
      <c r="K24" s="7"/>
      <c r="L24" s="7">
        <v>800</v>
      </c>
      <c r="M24" s="7">
        <f t="shared" si="0"/>
        <v>1600</v>
      </c>
    </row>
    <row r="25" spans="1:13" ht="18.5" x14ac:dyDescent="0.45">
      <c r="B25" s="6" t="s">
        <v>165</v>
      </c>
      <c r="G25" s="42" t="s">
        <v>53</v>
      </c>
      <c r="H25" s="43"/>
      <c r="I25" s="43"/>
      <c r="J25" s="43"/>
      <c r="K25" s="43"/>
      <c r="L25" s="44"/>
      <c r="M25" s="7">
        <f>SUM(M15:M24)</f>
        <v>9600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5">
    <mergeCell ref="A1:B1"/>
    <mergeCell ref="C1:D1"/>
    <mergeCell ref="G13:I13"/>
    <mergeCell ref="B18:E18"/>
    <mergeCell ref="G25:L25"/>
  </mergeCells>
  <pageMargins left="0.7" right="0.7" top="0.75" bottom="0.75" header="0.3" footer="0.3"/>
  <pageSetup paperSize="9" scale="97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29"/>
  <sheetViews>
    <sheetView rightToLeft="1" topLeftCell="A3" workbookViewId="0">
      <selection activeCell="B4" sqref="B4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13300</v>
      </c>
      <c r="C2" s="1" t="s">
        <v>109</v>
      </c>
      <c r="D2" s="1">
        <v>3050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300</v>
      </c>
    </row>
    <row r="4" spans="1:13" ht="15.5" x14ac:dyDescent="0.35">
      <c r="A4" s="1" t="s">
        <v>8</v>
      </c>
      <c r="B4" s="1">
        <v>5750</v>
      </c>
      <c r="C4" s="1" t="s">
        <v>31</v>
      </c>
      <c r="D4" s="1">
        <v>6200</v>
      </c>
    </row>
    <row r="5" spans="1:13" ht="15.5" x14ac:dyDescent="0.35">
      <c r="A5" s="1" t="s">
        <v>166</v>
      </c>
      <c r="B5" s="1">
        <v>1000</v>
      </c>
      <c r="C5" s="1" t="s">
        <v>167</v>
      </c>
      <c r="D5" s="1">
        <v>1100</v>
      </c>
    </row>
    <row r="6" spans="1:13" ht="15.5" x14ac:dyDescent="0.35">
      <c r="A6" s="1"/>
      <c r="B6" s="1"/>
      <c r="C6" s="1"/>
      <c r="D6" s="24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20150</v>
      </c>
      <c r="C10" s="2"/>
      <c r="D10" s="2">
        <f>SUM(D2:D9)</f>
        <v>10650</v>
      </c>
    </row>
    <row r="12" spans="1:13" ht="21" x14ac:dyDescent="0.5">
      <c r="B12" s="3" t="s">
        <v>12</v>
      </c>
      <c r="C12" s="3">
        <f>B10-D10</f>
        <v>9500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 t="s">
        <v>162</v>
      </c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3" ht="18.5" x14ac:dyDescent="0.45">
      <c r="A18" s="5"/>
      <c r="B18" s="48" t="s">
        <v>164</v>
      </c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4" si="0">SUM(I20:L20)</f>
        <v>500</v>
      </c>
    </row>
    <row r="21" spans="1:13" ht="18.5" x14ac:dyDescent="0.45">
      <c r="B21" s="6" t="s">
        <v>168</v>
      </c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/>
      <c r="H23" s="7"/>
      <c r="I23" s="7"/>
      <c r="J23" s="7"/>
      <c r="K23" s="7"/>
      <c r="L23" s="7"/>
      <c r="M23" s="7"/>
    </row>
    <row r="24" spans="1:13" ht="18.5" x14ac:dyDescent="0.45">
      <c r="B24" s="6"/>
      <c r="G24" s="7" t="s">
        <v>50</v>
      </c>
      <c r="H24" s="7" t="s">
        <v>51</v>
      </c>
      <c r="I24" s="7">
        <v>0</v>
      </c>
      <c r="J24" s="10">
        <v>300</v>
      </c>
      <c r="K24" s="7"/>
      <c r="L24" s="7">
        <v>300</v>
      </c>
      <c r="M24" s="7">
        <f t="shared" si="0"/>
        <v>600</v>
      </c>
    </row>
    <row r="25" spans="1:13" ht="18.5" x14ac:dyDescent="0.45">
      <c r="B25" s="6" t="s">
        <v>165</v>
      </c>
      <c r="G25" s="42" t="s">
        <v>53</v>
      </c>
      <c r="H25" s="43"/>
      <c r="I25" s="43"/>
      <c r="J25" s="43"/>
      <c r="K25" s="43"/>
      <c r="L25" s="44"/>
      <c r="M25" s="7">
        <f>SUM(M15:M24)</f>
        <v>8600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5">
    <mergeCell ref="A1:B1"/>
    <mergeCell ref="C1:D1"/>
    <mergeCell ref="G13:I13"/>
    <mergeCell ref="B18:E18"/>
    <mergeCell ref="G25:L25"/>
  </mergeCells>
  <pageMargins left="0.25" right="0.25" top="0.75" bottom="0.75" header="0.3" footer="0.3"/>
  <pageSetup paperSize="9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29"/>
  <sheetViews>
    <sheetView rightToLeft="1" zoomScale="81" zoomScaleNormal="100" workbookViewId="0">
      <selection activeCell="B19" sqref="B19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9500</v>
      </c>
      <c r="C2" s="1" t="s">
        <v>109</v>
      </c>
      <c r="D2" s="1">
        <v>3000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300</v>
      </c>
    </row>
    <row r="4" spans="1:13" ht="15.5" x14ac:dyDescent="0.35">
      <c r="A4" s="1" t="s">
        <v>8</v>
      </c>
      <c r="B4" s="1">
        <v>5500</v>
      </c>
      <c r="C4" s="1" t="s">
        <v>171</v>
      </c>
      <c r="D4" s="1">
        <v>100</v>
      </c>
    </row>
    <row r="5" spans="1:13" ht="15.5" x14ac:dyDescent="0.35">
      <c r="A5" s="1" t="s">
        <v>166</v>
      </c>
      <c r="B5" s="1">
        <v>1100</v>
      </c>
      <c r="C5" s="1"/>
      <c r="D5" s="1"/>
    </row>
    <row r="6" spans="1:13" ht="15.5" x14ac:dyDescent="0.35">
      <c r="A6" s="1"/>
      <c r="B6" s="1"/>
      <c r="C6" s="1"/>
      <c r="D6" s="24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16200</v>
      </c>
      <c r="C10" s="2"/>
      <c r="D10" s="2">
        <f>SUM(D2:D9)</f>
        <v>3400</v>
      </c>
    </row>
    <row r="12" spans="1:13" ht="21" x14ac:dyDescent="0.5">
      <c r="B12" s="3" t="s">
        <v>12</v>
      </c>
      <c r="C12" s="3">
        <f>B10-D10</f>
        <v>12800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 t="s">
        <v>162</v>
      </c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3" ht="18.5" x14ac:dyDescent="0.45">
      <c r="A18" s="5"/>
      <c r="B18" s="48" t="s">
        <v>164</v>
      </c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2" si="0">SUM(I20:L20)</f>
        <v>500</v>
      </c>
    </row>
    <row r="21" spans="1:13" ht="18.5" x14ac:dyDescent="0.45">
      <c r="B21" s="6" t="s">
        <v>169</v>
      </c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 t="s">
        <v>170</v>
      </c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/>
      <c r="H23" s="7"/>
      <c r="I23" s="7"/>
      <c r="J23" s="7"/>
      <c r="K23" s="7"/>
      <c r="L23" s="7"/>
      <c r="M23" s="7"/>
    </row>
    <row r="24" spans="1:13" ht="18.5" x14ac:dyDescent="0.45">
      <c r="B24" s="6"/>
      <c r="G24" s="7"/>
      <c r="H24" s="7"/>
      <c r="I24" s="7"/>
      <c r="J24" s="10"/>
      <c r="K24" s="7"/>
      <c r="L24" s="7"/>
      <c r="M24" s="7"/>
    </row>
    <row r="25" spans="1:13" ht="18.5" x14ac:dyDescent="0.45">
      <c r="B25" s="6"/>
      <c r="G25" s="42" t="s">
        <v>53</v>
      </c>
      <c r="H25" s="43"/>
      <c r="I25" s="43"/>
      <c r="J25" s="43"/>
      <c r="K25" s="43"/>
      <c r="L25" s="44"/>
      <c r="M25" s="7">
        <f>SUM(M15:M24)</f>
        <v>8000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5">
    <mergeCell ref="A1:B1"/>
    <mergeCell ref="C1:D1"/>
    <mergeCell ref="G13:I13"/>
    <mergeCell ref="B18:E18"/>
    <mergeCell ref="G25:L25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29"/>
  <sheetViews>
    <sheetView rightToLeft="1" workbookViewId="0">
      <selection activeCell="F20" sqref="F20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12800</v>
      </c>
      <c r="C2" s="1" t="s">
        <v>109</v>
      </c>
      <c r="D2" s="1">
        <v>3020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300</v>
      </c>
    </row>
    <row r="4" spans="1:13" ht="15.5" x14ac:dyDescent="0.35">
      <c r="A4" s="1" t="s">
        <v>8</v>
      </c>
      <c r="B4" s="1">
        <v>5500</v>
      </c>
      <c r="C4" s="1" t="s">
        <v>172</v>
      </c>
      <c r="D4" s="1">
        <v>700</v>
      </c>
    </row>
    <row r="5" spans="1:13" ht="15.5" x14ac:dyDescent="0.35">
      <c r="A5" s="1" t="s">
        <v>166</v>
      </c>
      <c r="B5" s="1"/>
      <c r="C5" s="1" t="s">
        <v>173</v>
      </c>
      <c r="D5" s="1">
        <v>200</v>
      </c>
    </row>
    <row r="6" spans="1:13" ht="15.5" x14ac:dyDescent="0.35">
      <c r="A6" s="1"/>
      <c r="B6" s="1"/>
      <c r="C6" s="1"/>
      <c r="D6" s="24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18400</v>
      </c>
      <c r="C10" s="2"/>
      <c r="D10" s="2">
        <f>SUM(D2:D9)</f>
        <v>4220</v>
      </c>
    </row>
    <row r="12" spans="1:13" ht="21" x14ac:dyDescent="0.5">
      <c r="B12" s="3" t="s">
        <v>12</v>
      </c>
      <c r="C12" s="3">
        <f>B10-D10</f>
        <v>14180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 t="s">
        <v>162</v>
      </c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3" ht="18.5" x14ac:dyDescent="0.45">
      <c r="A18" s="5"/>
      <c r="B18" s="48" t="s">
        <v>164</v>
      </c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/>
      <c r="M20" s="7">
        <f t="shared" ref="M20:M22" si="0">SUM(I20:L20)</f>
        <v>500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/>
      <c r="H23" s="7"/>
      <c r="I23" s="7"/>
      <c r="J23" s="7"/>
      <c r="K23" s="7"/>
      <c r="L23" s="7"/>
      <c r="M23" s="7"/>
    </row>
    <row r="24" spans="1:13" ht="18.5" x14ac:dyDescent="0.45">
      <c r="B24" s="6"/>
      <c r="G24" s="7"/>
      <c r="H24" s="7"/>
      <c r="I24" s="7"/>
      <c r="J24" s="10"/>
      <c r="K24" s="7"/>
      <c r="L24" s="7"/>
      <c r="M24" s="7"/>
    </row>
    <row r="25" spans="1:13" ht="18.5" x14ac:dyDescent="0.45">
      <c r="B25" s="6"/>
      <c r="G25" s="42" t="s">
        <v>53</v>
      </c>
      <c r="H25" s="43"/>
      <c r="I25" s="43"/>
      <c r="J25" s="43"/>
      <c r="K25" s="43"/>
      <c r="L25" s="44"/>
      <c r="M25" s="7">
        <f>SUM(M15:M24)</f>
        <v>8000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5">
    <mergeCell ref="A1:B1"/>
    <mergeCell ref="C1:D1"/>
    <mergeCell ref="G13:I13"/>
    <mergeCell ref="B18:E18"/>
    <mergeCell ref="G25:L2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29"/>
  <sheetViews>
    <sheetView rightToLeft="1" workbookViewId="0">
      <selection activeCell="D8" sqref="D8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14180</v>
      </c>
      <c r="C2" s="1" t="s">
        <v>109</v>
      </c>
      <c r="D2" s="1">
        <v>3020</v>
      </c>
    </row>
    <row r="3" spans="1:13" ht="15.5" x14ac:dyDescent="0.35">
      <c r="A3" s="1" t="s">
        <v>131</v>
      </c>
      <c r="B3" s="1">
        <v>100</v>
      </c>
      <c r="C3" s="1" t="s">
        <v>118</v>
      </c>
      <c r="D3" s="1">
        <v>300</v>
      </c>
    </row>
    <row r="4" spans="1:13" ht="15.5" x14ac:dyDescent="0.35">
      <c r="A4" s="1" t="s">
        <v>8</v>
      </c>
      <c r="B4" s="1">
        <v>6000</v>
      </c>
      <c r="C4" s="1" t="s">
        <v>114</v>
      </c>
      <c r="D4" s="1">
        <v>3050</v>
      </c>
    </row>
    <row r="5" spans="1:13" ht="15.5" x14ac:dyDescent="0.35">
      <c r="A5" s="1" t="s">
        <v>166</v>
      </c>
      <c r="B5" s="1"/>
      <c r="C5" s="1" t="s">
        <v>174</v>
      </c>
      <c r="D5" s="1">
        <v>1300</v>
      </c>
    </row>
    <row r="6" spans="1:13" ht="15.5" x14ac:dyDescent="0.35">
      <c r="A6" s="1"/>
      <c r="B6" s="1"/>
      <c r="C6" s="1" t="s">
        <v>175</v>
      </c>
      <c r="D6" s="24">
        <v>100</v>
      </c>
    </row>
    <row r="7" spans="1:13" ht="15.5" x14ac:dyDescent="0.35">
      <c r="A7" s="1"/>
      <c r="B7" s="1"/>
      <c r="C7" s="1" t="s">
        <v>106</v>
      </c>
      <c r="D7" s="1">
        <v>100</v>
      </c>
      <c r="H7" s="23"/>
    </row>
    <row r="8" spans="1:13" ht="15.5" x14ac:dyDescent="0.35">
      <c r="A8" s="1"/>
      <c r="B8" s="1"/>
      <c r="C8" s="1" t="s">
        <v>176</v>
      </c>
      <c r="D8" s="1">
        <v>50</v>
      </c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20280</v>
      </c>
      <c r="C10" s="2"/>
      <c r="D10" s="2">
        <f>SUM(D2:D9)</f>
        <v>7920</v>
      </c>
    </row>
    <row r="12" spans="1:13" ht="21" x14ac:dyDescent="0.5">
      <c r="B12" s="3" t="s">
        <v>12</v>
      </c>
      <c r="C12" s="3">
        <f>B10-D10</f>
        <v>12360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3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7" t="s">
        <v>40</v>
      </c>
      <c r="H20" s="7" t="s">
        <v>41</v>
      </c>
      <c r="I20" s="7">
        <v>500</v>
      </c>
      <c r="J20" s="7"/>
      <c r="K20" s="7"/>
      <c r="L20" s="7">
        <v>1500</v>
      </c>
      <c r="M20" s="7">
        <f t="shared" ref="M20:M22" si="0">SUM(I20:L20)</f>
        <v>2000</v>
      </c>
    </row>
    <row r="21" spans="1:13" ht="18.5" x14ac:dyDescent="0.45">
      <c r="B21" s="6"/>
      <c r="G21" s="8" t="s">
        <v>42</v>
      </c>
      <c r="H21" s="8" t="s">
        <v>41</v>
      </c>
      <c r="I21" s="8">
        <v>500</v>
      </c>
      <c r="J21" s="8">
        <v>300</v>
      </c>
      <c r="K21" s="8">
        <v>1000</v>
      </c>
      <c r="L21" s="8">
        <v>800</v>
      </c>
      <c r="M21" s="8">
        <f t="shared" si="0"/>
        <v>2600</v>
      </c>
    </row>
    <row r="22" spans="1:13" ht="18.5" x14ac:dyDescent="0.45">
      <c r="B22" s="6"/>
      <c r="G22" s="7" t="s">
        <v>43</v>
      </c>
      <c r="H22" s="7" t="s">
        <v>41</v>
      </c>
      <c r="I22" s="7"/>
      <c r="J22" s="7"/>
      <c r="K22" s="7"/>
      <c r="L22" s="7">
        <v>800</v>
      </c>
      <c r="M22" s="7">
        <f t="shared" si="0"/>
        <v>800</v>
      </c>
    </row>
    <row r="23" spans="1:13" ht="18.5" x14ac:dyDescent="0.45">
      <c r="B23" s="6"/>
      <c r="G23" s="7" t="s">
        <v>151</v>
      </c>
      <c r="H23" s="7" t="s">
        <v>45</v>
      </c>
      <c r="I23" s="7"/>
      <c r="J23" s="7"/>
      <c r="K23" s="7"/>
      <c r="L23" s="7">
        <v>500</v>
      </c>
      <c r="M23" s="7">
        <v>500</v>
      </c>
    </row>
    <row r="24" spans="1:13" ht="18.5" x14ac:dyDescent="0.45">
      <c r="B24" s="6"/>
      <c r="G24" s="7" t="s">
        <v>177</v>
      </c>
      <c r="H24" s="7" t="s">
        <v>49</v>
      </c>
      <c r="I24" s="7"/>
      <c r="J24" s="10"/>
      <c r="K24" s="7"/>
      <c r="L24" s="7">
        <v>500</v>
      </c>
      <c r="M24" s="7">
        <v>500</v>
      </c>
    </row>
    <row r="25" spans="1:13" ht="18.5" x14ac:dyDescent="0.45">
      <c r="B25" s="6"/>
      <c r="G25" s="42" t="s">
        <v>53</v>
      </c>
      <c r="H25" s="43"/>
      <c r="I25" s="43"/>
      <c r="J25" s="43"/>
      <c r="K25" s="43"/>
      <c r="L25" s="44"/>
      <c r="M25" s="7">
        <f>SUM(M15:M24)</f>
        <v>10500</v>
      </c>
    </row>
    <row r="26" spans="1:13" ht="18.5" x14ac:dyDescent="0.45">
      <c r="B26" s="6"/>
    </row>
    <row r="27" spans="1:13" ht="18.5" x14ac:dyDescent="0.45">
      <c r="A27" s="13"/>
      <c r="H27" s="11"/>
      <c r="I27" t="s">
        <v>108</v>
      </c>
    </row>
    <row r="29" spans="1:13" ht="18.5" x14ac:dyDescent="0.45">
      <c r="A29" s="13"/>
    </row>
  </sheetData>
  <mergeCells count="5">
    <mergeCell ref="A1:B1"/>
    <mergeCell ref="C1:D1"/>
    <mergeCell ref="G13:I13"/>
    <mergeCell ref="B18:E18"/>
    <mergeCell ref="G25:L2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29"/>
  <sheetViews>
    <sheetView rightToLeft="1" workbookViewId="0">
      <selection activeCell="B7" sqref="B7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12360</v>
      </c>
      <c r="C2" s="1" t="s">
        <v>109</v>
      </c>
      <c r="D2" s="1">
        <v>3020</v>
      </c>
    </row>
    <row r="3" spans="1:13" ht="15.5" x14ac:dyDescent="0.35">
      <c r="A3" s="1"/>
      <c r="B3" s="1"/>
      <c r="C3" s="1" t="s">
        <v>118</v>
      </c>
      <c r="D3" s="1">
        <v>300</v>
      </c>
    </row>
    <row r="4" spans="1:13" ht="15.5" x14ac:dyDescent="0.35">
      <c r="A4" s="1" t="s">
        <v>8</v>
      </c>
      <c r="B4" s="1">
        <v>5750</v>
      </c>
      <c r="C4" s="26" t="s">
        <v>173</v>
      </c>
      <c r="D4" s="1">
        <v>200</v>
      </c>
    </row>
    <row r="5" spans="1:13" ht="15.5" x14ac:dyDescent="0.35">
      <c r="A5" s="1" t="s">
        <v>166</v>
      </c>
      <c r="B5" s="1"/>
      <c r="C5" s="1"/>
      <c r="D5" s="1"/>
    </row>
    <row r="6" spans="1:13" ht="15.5" x14ac:dyDescent="0.35">
      <c r="A6" s="1"/>
      <c r="B6" s="1"/>
      <c r="C6" s="1"/>
      <c r="D6" s="24"/>
    </row>
    <row r="7" spans="1:13" ht="15.5" x14ac:dyDescent="0.35">
      <c r="A7" s="1"/>
      <c r="B7" s="1"/>
      <c r="C7" s="1"/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18110</v>
      </c>
      <c r="C10" s="2"/>
      <c r="D10" s="2">
        <f>SUM(D2:D9)</f>
        <v>3520</v>
      </c>
    </row>
    <row r="12" spans="1:13" ht="21" x14ac:dyDescent="0.5">
      <c r="B12" s="3" t="s">
        <v>12</v>
      </c>
      <c r="C12" s="3">
        <f>B10-D10</f>
        <v>14590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3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10" t="s">
        <v>178</v>
      </c>
      <c r="H20" s="10" t="s">
        <v>39</v>
      </c>
      <c r="I20" s="10"/>
      <c r="J20" s="10"/>
      <c r="K20" s="10"/>
      <c r="L20" s="10">
        <v>500</v>
      </c>
      <c r="M20" s="10">
        <v>500</v>
      </c>
    </row>
    <row r="21" spans="1:13" ht="18.5" x14ac:dyDescent="0.45">
      <c r="B21" s="6"/>
      <c r="G21" s="7" t="s">
        <v>40</v>
      </c>
      <c r="H21" s="7" t="s">
        <v>41</v>
      </c>
      <c r="I21" s="7">
        <v>500</v>
      </c>
      <c r="J21" s="7"/>
      <c r="K21" s="7"/>
      <c r="L21" s="7">
        <v>1500</v>
      </c>
      <c r="M21" s="7">
        <f t="shared" ref="M21:M23" si="0">SUM(I21:L21)</f>
        <v>2000</v>
      </c>
    </row>
    <row r="22" spans="1:13" ht="18.5" x14ac:dyDescent="0.45">
      <c r="B22" s="6"/>
      <c r="G22" s="8" t="s">
        <v>42</v>
      </c>
      <c r="H22" s="8" t="s">
        <v>41</v>
      </c>
      <c r="I22" s="8">
        <v>500</v>
      </c>
      <c r="J22" s="8">
        <v>300</v>
      </c>
      <c r="K22" s="8">
        <v>1000</v>
      </c>
      <c r="L22" s="8">
        <v>800</v>
      </c>
      <c r="M22" s="8">
        <f t="shared" si="0"/>
        <v>2600</v>
      </c>
    </row>
    <row r="23" spans="1:13" ht="18.5" x14ac:dyDescent="0.45">
      <c r="B23" s="6"/>
      <c r="G23" s="7" t="s">
        <v>43</v>
      </c>
      <c r="H23" s="7" t="s">
        <v>41</v>
      </c>
      <c r="I23" s="7"/>
      <c r="J23" s="7"/>
      <c r="K23" s="7"/>
      <c r="L23" s="7">
        <v>800</v>
      </c>
      <c r="M23" s="7">
        <f t="shared" si="0"/>
        <v>800</v>
      </c>
    </row>
    <row r="24" spans="1:13" ht="18.5" x14ac:dyDescent="0.45">
      <c r="B24" s="6"/>
      <c r="G24" s="7" t="s">
        <v>151</v>
      </c>
      <c r="H24" s="7" t="s">
        <v>45</v>
      </c>
      <c r="I24" s="7"/>
      <c r="J24" s="7"/>
      <c r="K24" s="7"/>
      <c r="L24" s="7">
        <v>500</v>
      </c>
      <c r="M24" s="7">
        <v>500</v>
      </c>
    </row>
    <row r="25" spans="1:13" ht="18.5" x14ac:dyDescent="0.45">
      <c r="B25" s="6"/>
      <c r="G25" s="7" t="s">
        <v>177</v>
      </c>
      <c r="H25" s="7" t="s">
        <v>49</v>
      </c>
      <c r="I25" s="7"/>
      <c r="J25" s="10"/>
      <c r="K25" s="7"/>
      <c r="L25" s="7">
        <v>500</v>
      </c>
      <c r="M25" s="7">
        <v>500</v>
      </c>
    </row>
    <row r="26" spans="1:13" ht="18.5" x14ac:dyDescent="0.45">
      <c r="B26" s="6"/>
      <c r="G26" s="42" t="s">
        <v>53</v>
      </c>
      <c r="H26" s="43"/>
      <c r="I26" s="43"/>
      <c r="J26" s="43"/>
      <c r="K26" s="43"/>
      <c r="L26" s="44"/>
      <c r="M26" s="7">
        <f>SUM(M15:M25)</f>
        <v>11000</v>
      </c>
    </row>
    <row r="27" spans="1:13" ht="18.5" x14ac:dyDescent="0.45">
      <c r="A27" s="13"/>
    </row>
    <row r="28" spans="1:13" x14ac:dyDescent="0.35">
      <c r="H28" s="11"/>
      <c r="I28" t="s">
        <v>108</v>
      </c>
    </row>
    <row r="29" spans="1:13" ht="18.5" x14ac:dyDescent="0.45">
      <c r="A29" s="13"/>
    </row>
  </sheetData>
  <mergeCells count="5">
    <mergeCell ref="A1:B1"/>
    <mergeCell ref="C1:D1"/>
    <mergeCell ref="G13:I13"/>
    <mergeCell ref="B18:E18"/>
    <mergeCell ref="G26:L26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29"/>
  <sheetViews>
    <sheetView rightToLeft="1" workbookViewId="0">
      <selection activeCell="D8" sqref="D8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14590</v>
      </c>
      <c r="C2" s="1" t="s">
        <v>109</v>
      </c>
      <c r="D2" s="1">
        <v>4000</v>
      </c>
    </row>
    <row r="3" spans="1:13" ht="15.5" x14ac:dyDescent="0.35">
      <c r="A3" s="1"/>
      <c r="B3" s="1"/>
      <c r="C3" s="1" t="s">
        <v>118</v>
      </c>
      <c r="D3" s="1">
        <v>300</v>
      </c>
    </row>
    <row r="4" spans="1:13" ht="15.5" x14ac:dyDescent="0.35">
      <c r="A4" s="1" t="s">
        <v>8</v>
      </c>
      <c r="B4" s="1">
        <v>5750</v>
      </c>
      <c r="C4" s="26" t="s">
        <v>173</v>
      </c>
      <c r="D4" s="1">
        <v>1650</v>
      </c>
    </row>
    <row r="5" spans="1:13" ht="15.5" x14ac:dyDescent="0.35">
      <c r="A5" s="1" t="s">
        <v>166</v>
      </c>
      <c r="B5" s="1"/>
      <c r="C5" s="1" t="s">
        <v>179</v>
      </c>
      <c r="D5" s="1">
        <v>1515</v>
      </c>
    </row>
    <row r="6" spans="1:13" ht="15.5" x14ac:dyDescent="0.35">
      <c r="A6" s="1"/>
      <c r="B6" s="1"/>
      <c r="C6" s="1" t="s">
        <v>130</v>
      </c>
      <c r="D6" s="24">
        <v>600</v>
      </c>
    </row>
    <row r="7" spans="1:13" ht="15.5" x14ac:dyDescent="0.35">
      <c r="A7" s="1"/>
      <c r="B7" s="1"/>
      <c r="C7" s="1" t="s">
        <v>182</v>
      </c>
      <c r="D7" s="1">
        <v>2000</v>
      </c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20340</v>
      </c>
      <c r="C10" s="2"/>
      <c r="D10" s="2">
        <f>SUM(D2:D9)</f>
        <v>10065</v>
      </c>
    </row>
    <row r="12" spans="1:13" ht="21" x14ac:dyDescent="0.5">
      <c r="B12" s="3" t="s">
        <v>12</v>
      </c>
      <c r="C12" s="3">
        <f>B10-D10</f>
        <v>10275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3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10" t="s">
        <v>178</v>
      </c>
      <c r="H20" s="10" t="s">
        <v>39</v>
      </c>
      <c r="I20" s="10"/>
      <c r="J20" s="10"/>
      <c r="K20" s="10"/>
      <c r="L20" s="10">
        <v>500</v>
      </c>
      <c r="M20" s="10">
        <v>500</v>
      </c>
    </row>
    <row r="21" spans="1:13" ht="18.5" x14ac:dyDescent="0.45">
      <c r="B21" s="6"/>
      <c r="G21" s="7" t="s">
        <v>40</v>
      </c>
      <c r="H21" s="7" t="s">
        <v>41</v>
      </c>
      <c r="I21" s="7">
        <v>500</v>
      </c>
      <c r="J21" s="7"/>
      <c r="K21" s="7"/>
      <c r="L21" s="7">
        <v>1500</v>
      </c>
      <c r="M21" s="7">
        <f t="shared" ref="M21:M23" si="0">SUM(I21:L21)</f>
        <v>2000</v>
      </c>
    </row>
    <row r="22" spans="1:13" ht="18.5" x14ac:dyDescent="0.45">
      <c r="B22" s="6"/>
      <c r="G22" s="8" t="s">
        <v>42</v>
      </c>
      <c r="H22" s="8" t="s">
        <v>41</v>
      </c>
      <c r="I22" s="8">
        <v>500</v>
      </c>
      <c r="J22" s="8">
        <v>300</v>
      </c>
      <c r="K22" s="8">
        <v>1000</v>
      </c>
      <c r="L22" s="8">
        <v>800</v>
      </c>
      <c r="M22" s="8">
        <f t="shared" si="0"/>
        <v>2600</v>
      </c>
    </row>
    <row r="23" spans="1:13" ht="18.5" x14ac:dyDescent="0.45">
      <c r="B23" s="6"/>
      <c r="G23" s="7" t="s">
        <v>43</v>
      </c>
      <c r="H23" s="7" t="s">
        <v>41</v>
      </c>
      <c r="I23" s="7"/>
      <c r="J23" s="7"/>
      <c r="K23" s="7"/>
      <c r="L23" s="7">
        <v>800</v>
      </c>
      <c r="M23" s="7">
        <f t="shared" si="0"/>
        <v>800</v>
      </c>
    </row>
    <row r="24" spans="1:13" ht="18.5" x14ac:dyDescent="0.45">
      <c r="B24" s="6"/>
      <c r="G24" s="7" t="s">
        <v>151</v>
      </c>
      <c r="H24" s="7" t="s">
        <v>45</v>
      </c>
      <c r="I24" s="7"/>
      <c r="J24" s="7"/>
      <c r="K24" s="7"/>
      <c r="L24" s="7">
        <v>500</v>
      </c>
      <c r="M24" s="7">
        <v>500</v>
      </c>
    </row>
    <row r="25" spans="1:13" ht="18.5" x14ac:dyDescent="0.45">
      <c r="B25" s="6"/>
      <c r="G25" s="7" t="s">
        <v>177</v>
      </c>
      <c r="H25" s="7" t="s">
        <v>49</v>
      </c>
      <c r="I25" s="7"/>
      <c r="J25" s="10"/>
      <c r="K25" s="7"/>
      <c r="L25" s="7">
        <v>500</v>
      </c>
      <c r="M25" s="7">
        <v>500</v>
      </c>
    </row>
    <row r="26" spans="1:13" ht="18.5" x14ac:dyDescent="0.45">
      <c r="B26" s="6"/>
      <c r="G26" s="42" t="s">
        <v>53</v>
      </c>
      <c r="H26" s="43"/>
      <c r="I26" s="43"/>
      <c r="J26" s="43"/>
      <c r="K26" s="43"/>
      <c r="L26" s="44"/>
      <c r="M26" s="7">
        <f>SUM(M15:M25)</f>
        <v>11000</v>
      </c>
    </row>
    <row r="27" spans="1:13" ht="18.5" x14ac:dyDescent="0.45">
      <c r="A27" s="13"/>
    </row>
    <row r="28" spans="1:13" x14ac:dyDescent="0.35">
      <c r="H28" s="11"/>
      <c r="I28" t="s">
        <v>108</v>
      </c>
    </row>
    <row r="29" spans="1:13" ht="18.5" x14ac:dyDescent="0.45">
      <c r="A29" s="13"/>
    </row>
  </sheetData>
  <mergeCells count="5">
    <mergeCell ref="A1:B1"/>
    <mergeCell ref="C1:D1"/>
    <mergeCell ref="G13:I13"/>
    <mergeCell ref="B18:E18"/>
    <mergeCell ref="G26:L2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29"/>
  <sheetViews>
    <sheetView rightToLeft="1" workbookViewId="0">
      <selection activeCell="D3" sqref="D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10275</v>
      </c>
      <c r="C2" s="1" t="s">
        <v>109</v>
      </c>
      <c r="D2" s="1">
        <v>5020</v>
      </c>
    </row>
    <row r="3" spans="1:13" ht="15.5" x14ac:dyDescent="0.35">
      <c r="A3" s="1"/>
      <c r="B3" s="1"/>
      <c r="C3" s="1" t="s">
        <v>118</v>
      </c>
      <c r="D3" s="1">
        <v>300</v>
      </c>
    </row>
    <row r="4" spans="1:13" ht="15.5" x14ac:dyDescent="0.35">
      <c r="A4" s="1" t="s">
        <v>8</v>
      </c>
      <c r="B4" s="1">
        <v>5750</v>
      </c>
      <c r="C4" s="26" t="s">
        <v>181</v>
      </c>
      <c r="D4" s="1">
        <v>200</v>
      </c>
    </row>
    <row r="5" spans="1:13" ht="15.5" x14ac:dyDescent="0.35">
      <c r="A5" s="1" t="s">
        <v>166</v>
      </c>
      <c r="B5" s="1"/>
      <c r="C5" s="1" t="s">
        <v>179</v>
      </c>
      <c r="D5" s="1">
        <v>1500</v>
      </c>
    </row>
    <row r="6" spans="1:13" ht="15.5" x14ac:dyDescent="0.35">
      <c r="A6" s="1"/>
      <c r="B6" s="1"/>
      <c r="C6" s="1" t="s">
        <v>130</v>
      </c>
      <c r="D6" s="24">
        <v>100</v>
      </c>
    </row>
    <row r="7" spans="1:13" ht="15.5" x14ac:dyDescent="0.35">
      <c r="A7" s="1"/>
      <c r="B7" s="1"/>
      <c r="C7" s="1" t="s">
        <v>180</v>
      </c>
      <c r="D7" s="1">
        <v>30</v>
      </c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16025</v>
      </c>
      <c r="C10" s="2"/>
      <c r="D10" s="2">
        <f>SUM(D2:D9)</f>
        <v>7150</v>
      </c>
    </row>
    <row r="12" spans="1:13" ht="21" x14ac:dyDescent="0.5">
      <c r="B12" s="3" t="s">
        <v>12</v>
      </c>
      <c r="C12" s="3">
        <f>B10-D10</f>
        <v>8875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3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3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3" ht="18.5" x14ac:dyDescent="0.45">
      <c r="A19" s="6"/>
      <c r="B19" s="6"/>
      <c r="C19" s="6"/>
      <c r="D19" s="6"/>
      <c r="G19" s="9" t="s">
        <v>38</v>
      </c>
      <c r="H19" s="9" t="s">
        <v>39</v>
      </c>
      <c r="I19" s="9"/>
      <c r="J19" s="9"/>
      <c r="K19" s="9">
        <v>500</v>
      </c>
      <c r="L19" s="9"/>
      <c r="M19" s="9">
        <f>SUM(I19:L19)</f>
        <v>500</v>
      </c>
    </row>
    <row r="20" spans="1:13" ht="18.5" x14ac:dyDescent="0.45">
      <c r="B20" s="6" t="s">
        <v>110</v>
      </c>
      <c r="G20" s="10" t="s">
        <v>178</v>
      </c>
      <c r="H20" s="10" t="s">
        <v>39</v>
      </c>
      <c r="I20" s="10"/>
      <c r="J20" s="10"/>
      <c r="K20" s="10"/>
      <c r="L20" s="10">
        <v>500</v>
      </c>
      <c r="M20" s="10">
        <v>500</v>
      </c>
    </row>
    <row r="21" spans="1:13" ht="18.5" x14ac:dyDescent="0.45">
      <c r="B21" s="6"/>
      <c r="G21" s="7" t="s">
        <v>40</v>
      </c>
      <c r="H21" s="7" t="s">
        <v>41</v>
      </c>
      <c r="I21" s="7">
        <v>500</v>
      </c>
      <c r="J21" s="7"/>
      <c r="K21" s="7"/>
      <c r="L21" s="7">
        <v>1500</v>
      </c>
      <c r="M21" s="7">
        <f t="shared" ref="M21:M23" si="0">SUM(I21:L21)</f>
        <v>2000</v>
      </c>
    </row>
    <row r="22" spans="1:13" ht="18.5" x14ac:dyDescent="0.45">
      <c r="B22" s="6"/>
      <c r="G22" s="8" t="s">
        <v>42</v>
      </c>
      <c r="H22" s="8" t="s">
        <v>41</v>
      </c>
      <c r="I22" s="8">
        <v>500</v>
      </c>
      <c r="J22" s="8">
        <v>300</v>
      </c>
      <c r="K22" s="8">
        <v>1000</v>
      </c>
      <c r="L22" s="8">
        <v>800</v>
      </c>
      <c r="M22" s="8">
        <f t="shared" si="0"/>
        <v>2600</v>
      </c>
    </row>
    <row r="23" spans="1:13" ht="18.5" x14ac:dyDescent="0.45">
      <c r="B23" s="6"/>
      <c r="G23" s="7" t="s">
        <v>43</v>
      </c>
      <c r="H23" s="7" t="s">
        <v>41</v>
      </c>
      <c r="I23" s="7"/>
      <c r="J23" s="7"/>
      <c r="K23" s="7"/>
      <c r="L23" s="7">
        <v>800</v>
      </c>
      <c r="M23" s="7">
        <f t="shared" si="0"/>
        <v>800</v>
      </c>
    </row>
    <row r="24" spans="1:13" ht="18.5" x14ac:dyDescent="0.45">
      <c r="B24" s="6"/>
      <c r="G24" s="7" t="s">
        <v>151</v>
      </c>
      <c r="H24" s="7" t="s">
        <v>45</v>
      </c>
      <c r="I24" s="7"/>
      <c r="J24" s="7"/>
      <c r="K24" s="7"/>
      <c r="L24" s="7">
        <v>500</v>
      </c>
      <c r="M24" s="7">
        <v>500</v>
      </c>
    </row>
    <row r="25" spans="1:13" ht="18.5" x14ac:dyDescent="0.45">
      <c r="B25" s="6"/>
      <c r="G25" s="7" t="s">
        <v>177</v>
      </c>
      <c r="H25" s="7" t="s">
        <v>49</v>
      </c>
      <c r="I25" s="7"/>
      <c r="J25" s="10"/>
      <c r="K25" s="7"/>
      <c r="L25" s="7">
        <v>500</v>
      </c>
      <c r="M25" s="7">
        <v>500</v>
      </c>
    </row>
    <row r="26" spans="1:13" ht="18.5" x14ac:dyDescent="0.45">
      <c r="B26" s="6"/>
      <c r="G26" s="42" t="s">
        <v>53</v>
      </c>
      <c r="H26" s="43"/>
      <c r="I26" s="43"/>
      <c r="J26" s="43"/>
      <c r="K26" s="43"/>
      <c r="L26" s="44"/>
      <c r="M26" s="7">
        <f>SUM(M15:M25)</f>
        <v>11000</v>
      </c>
    </row>
    <row r="27" spans="1:13" ht="18.5" x14ac:dyDescent="0.45">
      <c r="A27" s="13"/>
    </row>
    <row r="28" spans="1:13" x14ac:dyDescent="0.35">
      <c r="H28" s="11"/>
      <c r="I28" t="s">
        <v>108</v>
      </c>
    </row>
    <row r="29" spans="1:13" ht="18.5" x14ac:dyDescent="0.45">
      <c r="A29" s="13"/>
    </row>
  </sheetData>
  <mergeCells count="5">
    <mergeCell ref="A1:B1"/>
    <mergeCell ref="C1:D1"/>
    <mergeCell ref="G13:I13"/>
    <mergeCell ref="B18:E18"/>
    <mergeCell ref="G26:L2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29"/>
  <sheetViews>
    <sheetView rightToLeft="1" workbookViewId="0">
      <selection activeCell="B3" sqref="B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8875</v>
      </c>
      <c r="C2" s="1" t="s">
        <v>109</v>
      </c>
      <c r="D2" s="1">
        <v>7020</v>
      </c>
    </row>
    <row r="3" spans="1:13" ht="15.5" x14ac:dyDescent="0.35">
      <c r="A3" s="1"/>
      <c r="B3" s="1"/>
      <c r="C3" s="1" t="s">
        <v>118</v>
      </c>
      <c r="D3" s="1">
        <v>300</v>
      </c>
    </row>
    <row r="4" spans="1:13" ht="15.5" x14ac:dyDescent="0.35">
      <c r="A4" s="1" t="s">
        <v>8</v>
      </c>
      <c r="B4" s="1">
        <v>6000</v>
      </c>
      <c r="C4" s="26" t="s">
        <v>175</v>
      </c>
      <c r="D4" s="1">
        <v>150</v>
      </c>
    </row>
    <row r="5" spans="1:13" ht="15.5" x14ac:dyDescent="0.35">
      <c r="A5" s="1" t="s">
        <v>166</v>
      </c>
      <c r="B5" s="1"/>
      <c r="C5" s="1" t="s">
        <v>179</v>
      </c>
      <c r="D5" s="1">
        <v>1100</v>
      </c>
    </row>
    <row r="6" spans="1:13" ht="15.5" x14ac:dyDescent="0.35">
      <c r="A6" s="1"/>
      <c r="B6" s="1"/>
      <c r="C6" s="1" t="s">
        <v>130</v>
      </c>
      <c r="D6" s="24"/>
    </row>
    <row r="7" spans="1:13" ht="15.5" x14ac:dyDescent="0.35">
      <c r="A7" s="1"/>
      <c r="B7" s="1"/>
      <c r="C7" s="1" t="s">
        <v>180</v>
      </c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14875</v>
      </c>
      <c r="C10" s="2"/>
      <c r="D10" s="2">
        <f>SUM(D2:D9)</f>
        <v>8570</v>
      </c>
    </row>
    <row r="12" spans="1:13" ht="21" x14ac:dyDescent="0.5">
      <c r="B12" s="3" t="s">
        <v>12</v>
      </c>
      <c r="C12" s="3">
        <f>B10-D10</f>
        <v>6305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4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4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4" ht="18.5" x14ac:dyDescent="0.45">
      <c r="A19" s="6"/>
      <c r="B19" s="6"/>
      <c r="C19" s="6"/>
      <c r="D19" s="6"/>
      <c r="G19" s="10" t="s">
        <v>183</v>
      </c>
      <c r="H19" s="10" t="s">
        <v>49</v>
      </c>
      <c r="I19" s="10"/>
      <c r="J19" s="10"/>
      <c r="K19" s="10">
        <v>750</v>
      </c>
      <c r="L19" s="10"/>
      <c r="M19" s="10">
        <f>SUM(I19:L19)</f>
        <v>750</v>
      </c>
      <c r="N19" t="s">
        <v>185</v>
      </c>
    </row>
    <row r="20" spans="1:14" ht="18.5" x14ac:dyDescent="0.45">
      <c r="B20" s="6" t="s">
        <v>110</v>
      </c>
      <c r="G20" s="10" t="s">
        <v>178</v>
      </c>
      <c r="H20" s="10" t="s">
        <v>39</v>
      </c>
      <c r="I20" s="10"/>
      <c r="J20" s="10"/>
      <c r="K20" s="10"/>
      <c r="L20" s="10">
        <v>500</v>
      </c>
      <c r="M20" s="10">
        <v>500</v>
      </c>
      <c r="N20" t="s">
        <v>184</v>
      </c>
    </row>
    <row r="21" spans="1:14" ht="18.5" x14ac:dyDescent="0.45">
      <c r="B21" s="6"/>
      <c r="G21" s="7" t="s">
        <v>40</v>
      </c>
      <c r="H21" s="7" t="s">
        <v>41</v>
      </c>
      <c r="I21" s="7">
        <v>500</v>
      </c>
      <c r="J21" s="7"/>
      <c r="K21" s="7"/>
      <c r="L21" s="7">
        <v>1500</v>
      </c>
      <c r="M21" s="7">
        <f t="shared" ref="M21:M23" si="0">SUM(I21:L21)</f>
        <v>2000</v>
      </c>
      <c r="N21" t="s">
        <v>186</v>
      </c>
    </row>
    <row r="22" spans="1:14" ht="18.5" x14ac:dyDescent="0.45">
      <c r="B22" s="6"/>
      <c r="G22" s="8" t="s">
        <v>42</v>
      </c>
      <c r="H22" s="8" t="s">
        <v>41</v>
      </c>
      <c r="I22" s="8">
        <v>500</v>
      </c>
      <c r="J22" s="8">
        <v>300</v>
      </c>
      <c r="K22" s="8">
        <v>1000</v>
      </c>
      <c r="L22" s="8">
        <v>800</v>
      </c>
      <c r="M22" s="8">
        <f t="shared" si="0"/>
        <v>2600</v>
      </c>
    </row>
    <row r="23" spans="1:14" ht="18.5" x14ac:dyDescent="0.45">
      <c r="B23" s="6"/>
      <c r="G23" s="7" t="s">
        <v>43</v>
      </c>
      <c r="H23" s="7" t="s">
        <v>41</v>
      </c>
      <c r="I23" s="7"/>
      <c r="J23" s="7"/>
      <c r="K23" s="7"/>
      <c r="L23" s="7">
        <v>800</v>
      </c>
      <c r="M23" s="7">
        <f t="shared" si="0"/>
        <v>800</v>
      </c>
    </row>
    <row r="24" spans="1:14" ht="18.5" x14ac:dyDescent="0.45">
      <c r="B24" s="6"/>
      <c r="G24" s="7" t="s">
        <v>151</v>
      </c>
      <c r="H24" s="7" t="s">
        <v>45</v>
      </c>
      <c r="I24" s="7"/>
      <c r="J24" s="7"/>
      <c r="K24" s="7"/>
      <c r="L24" s="7">
        <v>500</v>
      </c>
      <c r="M24" s="7">
        <v>500</v>
      </c>
      <c r="N24" t="s">
        <v>184</v>
      </c>
    </row>
    <row r="25" spans="1:14" ht="18.5" x14ac:dyDescent="0.45">
      <c r="B25" s="6"/>
      <c r="G25" s="7" t="s">
        <v>177</v>
      </c>
      <c r="H25" s="7" t="s">
        <v>49</v>
      </c>
      <c r="I25" s="7"/>
      <c r="J25" s="10"/>
      <c r="K25" s="7"/>
      <c r="L25" s="7">
        <v>500</v>
      </c>
      <c r="M25" s="7">
        <v>500</v>
      </c>
    </row>
    <row r="26" spans="1:14" ht="18.5" x14ac:dyDescent="0.45">
      <c r="B26" s="6"/>
      <c r="G26" s="42" t="s">
        <v>53</v>
      </c>
      <c r="H26" s="43"/>
      <c r="I26" s="43"/>
      <c r="J26" s="43"/>
      <c r="K26" s="43"/>
      <c r="L26" s="44"/>
      <c r="M26" s="7">
        <f>SUM(M15:M25)</f>
        <v>11250</v>
      </c>
    </row>
    <row r="27" spans="1:14" ht="18.5" x14ac:dyDescent="0.45">
      <c r="A27" s="13"/>
    </row>
    <row r="28" spans="1:14" x14ac:dyDescent="0.35">
      <c r="H28" s="11"/>
      <c r="I28" t="s">
        <v>108</v>
      </c>
    </row>
    <row r="29" spans="1:14" ht="18.5" x14ac:dyDescent="0.45">
      <c r="A29" s="13"/>
    </row>
  </sheetData>
  <mergeCells count="5">
    <mergeCell ref="A1:B1"/>
    <mergeCell ref="C1:D1"/>
    <mergeCell ref="G13:I13"/>
    <mergeCell ref="B18:E18"/>
    <mergeCell ref="G26:L2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29"/>
  <sheetViews>
    <sheetView rightToLeft="1" workbookViewId="0">
      <selection activeCell="B3" sqref="B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6305</v>
      </c>
      <c r="C2" s="1" t="s">
        <v>109</v>
      </c>
      <c r="D2" s="1">
        <v>5020</v>
      </c>
    </row>
    <row r="3" spans="1:13" ht="15.5" x14ac:dyDescent="0.35">
      <c r="A3" s="1"/>
      <c r="B3" s="1"/>
      <c r="C3" s="1" t="s">
        <v>118</v>
      </c>
      <c r="D3" s="1">
        <v>300</v>
      </c>
    </row>
    <row r="4" spans="1:13" ht="15.5" x14ac:dyDescent="0.35">
      <c r="A4" s="1" t="s">
        <v>8</v>
      </c>
      <c r="B4" s="1">
        <v>6500</v>
      </c>
      <c r="C4" s="26" t="s">
        <v>176</v>
      </c>
      <c r="D4" s="1">
        <v>100</v>
      </c>
    </row>
    <row r="5" spans="1:13" ht="15.5" x14ac:dyDescent="0.35">
      <c r="A5" s="1" t="s">
        <v>166</v>
      </c>
      <c r="B5" s="1"/>
      <c r="C5" s="1" t="s">
        <v>187</v>
      </c>
      <c r="D5" s="1">
        <v>100</v>
      </c>
    </row>
    <row r="6" spans="1:13" ht="15.5" x14ac:dyDescent="0.35">
      <c r="A6" s="1"/>
      <c r="B6" s="1"/>
      <c r="C6" s="1" t="s">
        <v>188</v>
      </c>
      <c r="D6" s="24">
        <v>50</v>
      </c>
    </row>
    <row r="7" spans="1:13" ht="15.5" x14ac:dyDescent="0.35">
      <c r="A7" s="1"/>
      <c r="B7" s="1"/>
      <c r="C7" s="1" t="s">
        <v>180</v>
      </c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12805</v>
      </c>
      <c r="C10" s="2"/>
      <c r="D10" s="2">
        <f>SUM(D2:D9)</f>
        <v>5570</v>
      </c>
    </row>
    <row r="12" spans="1:13" ht="21" x14ac:dyDescent="0.5">
      <c r="B12" s="3" t="s">
        <v>12</v>
      </c>
      <c r="C12" s="3">
        <f>B10-D10</f>
        <v>7235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4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4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4" ht="18.5" x14ac:dyDescent="0.45">
      <c r="A19" s="6"/>
      <c r="B19" s="6"/>
      <c r="C19" s="6"/>
      <c r="D19" s="6"/>
      <c r="G19" s="10" t="s">
        <v>183</v>
      </c>
      <c r="H19" s="10" t="s">
        <v>49</v>
      </c>
      <c r="I19" s="10"/>
      <c r="J19" s="10"/>
      <c r="K19" s="10">
        <v>750</v>
      </c>
      <c r="L19" s="10"/>
      <c r="M19" s="10">
        <f>SUM(I19:L19)</f>
        <v>750</v>
      </c>
      <c r="N19" t="s">
        <v>185</v>
      </c>
    </row>
    <row r="20" spans="1:14" ht="18.5" x14ac:dyDescent="0.45">
      <c r="B20" s="6" t="s">
        <v>110</v>
      </c>
      <c r="G20" s="10" t="s">
        <v>178</v>
      </c>
      <c r="H20" s="10" t="s">
        <v>39</v>
      </c>
      <c r="I20" s="10"/>
      <c r="J20" s="10"/>
      <c r="K20" s="10"/>
      <c r="L20" s="10">
        <v>500</v>
      </c>
      <c r="M20" s="10">
        <v>500</v>
      </c>
      <c r="N20" t="s">
        <v>184</v>
      </c>
    </row>
    <row r="21" spans="1:14" ht="18.5" x14ac:dyDescent="0.45">
      <c r="B21" s="6"/>
      <c r="G21" s="7" t="s">
        <v>40</v>
      </c>
      <c r="H21" s="7" t="s">
        <v>41</v>
      </c>
      <c r="I21" s="7">
        <v>500</v>
      </c>
      <c r="J21" s="7"/>
      <c r="K21" s="7"/>
      <c r="L21" s="7">
        <v>1500</v>
      </c>
      <c r="M21" s="7">
        <f t="shared" ref="M21:M23" si="0">SUM(I21:L21)</f>
        <v>2000</v>
      </c>
      <c r="N21" t="s">
        <v>186</v>
      </c>
    </row>
    <row r="22" spans="1:14" ht="18.5" x14ac:dyDescent="0.45">
      <c r="B22" s="6"/>
      <c r="G22" s="8" t="s">
        <v>42</v>
      </c>
      <c r="H22" s="8" t="s">
        <v>41</v>
      </c>
      <c r="I22" s="8">
        <v>500</v>
      </c>
      <c r="J22" s="8">
        <v>300</v>
      </c>
      <c r="K22" s="8">
        <v>1000</v>
      </c>
      <c r="L22" s="8">
        <v>800</v>
      </c>
      <c r="M22" s="8">
        <f t="shared" si="0"/>
        <v>2600</v>
      </c>
    </row>
    <row r="23" spans="1:14" ht="18.5" x14ac:dyDescent="0.45">
      <c r="B23" s="6"/>
      <c r="G23" s="7" t="s">
        <v>43</v>
      </c>
      <c r="H23" s="7" t="s">
        <v>41</v>
      </c>
      <c r="I23" s="7"/>
      <c r="J23" s="7"/>
      <c r="K23" s="7"/>
      <c r="L23" s="7">
        <v>800</v>
      </c>
      <c r="M23" s="7">
        <f t="shared" si="0"/>
        <v>800</v>
      </c>
    </row>
    <row r="24" spans="1:14" ht="18.5" x14ac:dyDescent="0.45">
      <c r="B24" s="6"/>
      <c r="G24" s="7" t="s">
        <v>151</v>
      </c>
      <c r="H24" s="7" t="s">
        <v>45</v>
      </c>
      <c r="I24" s="7"/>
      <c r="J24" s="7"/>
      <c r="K24" s="7"/>
      <c r="L24" s="7">
        <v>500</v>
      </c>
      <c r="M24" s="7">
        <v>500</v>
      </c>
      <c r="N24" t="s">
        <v>184</v>
      </c>
    </row>
    <row r="25" spans="1:14" ht="18.5" x14ac:dyDescent="0.45">
      <c r="B25" s="6"/>
      <c r="G25" s="7" t="s">
        <v>177</v>
      </c>
      <c r="H25" s="7" t="s">
        <v>49</v>
      </c>
      <c r="I25" s="7"/>
      <c r="J25" s="10"/>
      <c r="K25" s="7"/>
      <c r="L25" s="7">
        <v>500</v>
      </c>
      <c r="M25" s="7">
        <v>500</v>
      </c>
    </row>
    <row r="26" spans="1:14" ht="18.5" x14ac:dyDescent="0.45">
      <c r="B26" s="6"/>
      <c r="G26" s="42" t="s">
        <v>53</v>
      </c>
      <c r="H26" s="43"/>
      <c r="I26" s="43"/>
      <c r="J26" s="43"/>
      <c r="K26" s="43"/>
      <c r="L26" s="44"/>
      <c r="M26" s="7">
        <f>SUM(M15:M25)</f>
        <v>11250</v>
      </c>
    </row>
    <row r="27" spans="1:14" ht="18.5" x14ac:dyDescent="0.45">
      <c r="A27" s="13"/>
    </row>
    <row r="28" spans="1:14" x14ac:dyDescent="0.35">
      <c r="H28" s="11"/>
      <c r="I28" t="s">
        <v>108</v>
      </c>
    </row>
    <row r="29" spans="1:14" ht="18.5" x14ac:dyDescent="0.45">
      <c r="A29" s="13"/>
    </row>
  </sheetData>
  <mergeCells count="5">
    <mergeCell ref="A1:B1"/>
    <mergeCell ref="C1:D1"/>
    <mergeCell ref="G13:I13"/>
    <mergeCell ref="B18:E18"/>
    <mergeCell ref="G26:L2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29"/>
  <sheetViews>
    <sheetView rightToLeft="1" workbookViewId="0">
      <selection activeCell="B3" sqref="B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7235</v>
      </c>
      <c r="C2" s="1" t="s">
        <v>109</v>
      </c>
      <c r="D2" s="1">
        <v>4000</v>
      </c>
    </row>
    <row r="3" spans="1:13" ht="15.5" x14ac:dyDescent="0.35">
      <c r="A3" s="1"/>
      <c r="B3" s="1"/>
      <c r="C3" s="1" t="s">
        <v>118</v>
      </c>
      <c r="D3" s="1">
        <v>300</v>
      </c>
    </row>
    <row r="4" spans="1:13" ht="15.5" x14ac:dyDescent="0.35">
      <c r="A4" s="1" t="s">
        <v>8</v>
      </c>
      <c r="B4" s="1">
        <v>6250</v>
      </c>
      <c r="C4" s="26"/>
      <c r="D4" s="1"/>
    </row>
    <row r="5" spans="1:13" ht="15.5" x14ac:dyDescent="0.35">
      <c r="A5" s="1" t="s">
        <v>166</v>
      </c>
      <c r="B5" s="1"/>
      <c r="C5" s="1" t="s">
        <v>187</v>
      </c>
      <c r="D5" s="1">
        <v>100</v>
      </c>
    </row>
    <row r="6" spans="1:13" ht="15.5" x14ac:dyDescent="0.35">
      <c r="A6" s="1"/>
      <c r="B6" s="1"/>
      <c r="C6" s="1" t="s">
        <v>171</v>
      </c>
      <c r="D6" s="24">
        <v>100</v>
      </c>
    </row>
    <row r="7" spans="1:13" ht="15.5" x14ac:dyDescent="0.35">
      <c r="A7" s="1"/>
      <c r="B7" s="1"/>
      <c r="C7" s="1" t="s">
        <v>180</v>
      </c>
      <c r="D7" s="1"/>
      <c r="H7" s="23"/>
    </row>
    <row r="8" spans="1:13" ht="15.5" x14ac:dyDescent="0.35">
      <c r="A8" s="1"/>
      <c r="B8" s="1"/>
      <c r="C8" s="1"/>
      <c r="D8" s="1"/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13485</v>
      </c>
      <c r="C10" s="2"/>
      <c r="D10" s="2">
        <f>SUM(D2:D9)</f>
        <v>4500</v>
      </c>
    </row>
    <row r="12" spans="1:13" ht="21" x14ac:dyDescent="0.5">
      <c r="B12" s="3" t="s">
        <v>12</v>
      </c>
      <c r="C12" s="3">
        <f>B10-D10</f>
        <v>8985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4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4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4" ht="18.5" x14ac:dyDescent="0.45">
      <c r="A19" s="6"/>
      <c r="B19" s="6"/>
      <c r="C19" s="6"/>
      <c r="D19" s="6"/>
      <c r="G19" s="10" t="s">
        <v>183</v>
      </c>
      <c r="H19" s="10" t="s">
        <v>49</v>
      </c>
      <c r="I19" s="10"/>
      <c r="J19" s="10"/>
      <c r="K19" s="10">
        <v>750</v>
      </c>
      <c r="L19" s="10"/>
      <c r="M19" s="10">
        <f>SUM(I19:L19)</f>
        <v>750</v>
      </c>
      <c r="N19" t="s">
        <v>185</v>
      </c>
    </row>
    <row r="20" spans="1:14" ht="18.5" x14ac:dyDescent="0.45">
      <c r="B20" s="6" t="s">
        <v>110</v>
      </c>
      <c r="G20" s="10" t="s">
        <v>178</v>
      </c>
      <c r="H20" s="10" t="s">
        <v>39</v>
      </c>
      <c r="I20" s="10"/>
      <c r="J20" s="10"/>
      <c r="K20" s="10"/>
      <c r="L20" s="10">
        <v>500</v>
      </c>
      <c r="M20" s="10">
        <v>500</v>
      </c>
      <c r="N20" t="s">
        <v>184</v>
      </c>
    </row>
    <row r="21" spans="1:14" ht="18.5" x14ac:dyDescent="0.45">
      <c r="B21" s="6"/>
      <c r="G21" s="7" t="s">
        <v>40</v>
      </c>
      <c r="H21" s="7" t="s">
        <v>41</v>
      </c>
      <c r="I21" s="7">
        <v>500</v>
      </c>
      <c r="J21" s="7"/>
      <c r="K21" s="7"/>
      <c r="L21" s="7">
        <v>1500</v>
      </c>
      <c r="M21" s="7">
        <f t="shared" ref="M21:M23" si="0">SUM(I21:L21)</f>
        <v>2000</v>
      </c>
      <c r="N21" t="s">
        <v>186</v>
      </c>
    </row>
    <row r="22" spans="1:14" ht="18.5" x14ac:dyDescent="0.45">
      <c r="B22" s="6"/>
      <c r="G22" s="8" t="s">
        <v>42</v>
      </c>
      <c r="H22" s="8" t="s">
        <v>41</v>
      </c>
      <c r="I22" s="8">
        <v>500</v>
      </c>
      <c r="J22" s="8">
        <v>300</v>
      </c>
      <c r="K22" s="8">
        <v>1000</v>
      </c>
      <c r="L22" s="8">
        <v>800</v>
      </c>
      <c r="M22" s="8">
        <f t="shared" si="0"/>
        <v>2600</v>
      </c>
    </row>
    <row r="23" spans="1:14" ht="18.5" x14ac:dyDescent="0.45">
      <c r="B23" s="6"/>
      <c r="G23" s="7" t="s">
        <v>43</v>
      </c>
      <c r="H23" s="7" t="s">
        <v>41</v>
      </c>
      <c r="I23" s="7"/>
      <c r="J23" s="7"/>
      <c r="K23" s="7"/>
      <c r="L23" s="7">
        <v>800</v>
      </c>
      <c r="M23" s="7">
        <f t="shared" si="0"/>
        <v>800</v>
      </c>
    </row>
    <row r="24" spans="1:14" ht="18.5" x14ac:dyDescent="0.45">
      <c r="B24" s="6"/>
      <c r="G24" s="7" t="s">
        <v>151</v>
      </c>
      <c r="H24" s="7" t="s">
        <v>45</v>
      </c>
      <c r="I24" s="7"/>
      <c r="J24" s="7"/>
      <c r="K24" s="7"/>
      <c r="L24" s="7">
        <v>500</v>
      </c>
      <c r="M24" s="7">
        <v>500</v>
      </c>
      <c r="N24" t="s">
        <v>184</v>
      </c>
    </row>
    <row r="25" spans="1:14" ht="18.5" x14ac:dyDescent="0.45">
      <c r="B25" s="6"/>
      <c r="G25" s="7" t="s">
        <v>177</v>
      </c>
      <c r="H25" s="7" t="s">
        <v>49</v>
      </c>
      <c r="I25" s="7"/>
      <c r="J25" s="10"/>
      <c r="K25" s="7"/>
      <c r="L25" s="7">
        <v>500</v>
      </c>
      <c r="M25" s="7">
        <v>500</v>
      </c>
    </row>
    <row r="26" spans="1:14" ht="18.5" x14ac:dyDescent="0.45">
      <c r="B26" s="6"/>
      <c r="G26" s="42" t="s">
        <v>53</v>
      </c>
      <c r="H26" s="43"/>
      <c r="I26" s="43"/>
      <c r="J26" s="43"/>
      <c r="K26" s="43"/>
      <c r="L26" s="44"/>
      <c r="M26" s="7">
        <f>SUM(M15:M25)</f>
        <v>11250</v>
      </c>
    </row>
    <row r="27" spans="1:14" ht="18.5" x14ac:dyDescent="0.45">
      <c r="A27" s="13"/>
    </row>
    <row r="28" spans="1:14" x14ac:dyDescent="0.35">
      <c r="H28" s="11"/>
      <c r="I28" t="s">
        <v>108</v>
      </c>
    </row>
    <row r="29" spans="1:14" ht="18.5" x14ac:dyDescent="0.45">
      <c r="A29" s="13"/>
    </row>
  </sheetData>
  <mergeCells count="5">
    <mergeCell ref="A1:B1"/>
    <mergeCell ref="C1:D1"/>
    <mergeCell ref="G13:I13"/>
    <mergeCell ref="B18:E18"/>
    <mergeCell ref="G26:L2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29"/>
  <sheetViews>
    <sheetView rightToLeft="1" workbookViewId="0">
      <selection activeCell="B3" sqref="B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8985</v>
      </c>
      <c r="C2" s="1" t="s">
        <v>109</v>
      </c>
      <c r="D2" s="1">
        <v>4000</v>
      </c>
    </row>
    <row r="3" spans="1:13" ht="15.5" x14ac:dyDescent="0.35">
      <c r="A3" s="1"/>
      <c r="B3" s="1"/>
      <c r="C3" s="1" t="s">
        <v>118</v>
      </c>
      <c r="D3" s="1">
        <v>300</v>
      </c>
    </row>
    <row r="4" spans="1:13" ht="15.5" x14ac:dyDescent="0.35">
      <c r="A4" s="1" t="s">
        <v>8</v>
      </c>
      <c r="B4" s="1">
        <v>6250</v>
      </c>
      <c r="C4" s="26" t="s">
        <v>31</v>
      </c>
      <c r="D4" s="1">
        <v>350</v>
      </c>
    </row>
    <row r="5" spans="1:13" ht="15.5" x14ac:dyDescent="0.35">
      <c r="A5" s="1" t="s">
        <v>166</v>
      </c>
      <c r="B5" s="1"/>
      <c r="C5" s="1" t="s">
        <v>187</v>
      </c>
      <c r="D5" s="1">
        <v>25</v>
      </c>
    </row>
    <row r="6" spans="1:13" ht="15.5" x14ac:dyDescent="0.35">
      <c r="A6" s="1"/>
      <c r="B6" s="1"/>
      <c r="C6" s="1" t="s">
        <v>171</v>
      </c>
      <c r="D6" s="24">
        <v>25</v>
      </c>
    </row>
    <row r="7" spans="1:13" ht="15.5" x14ac:dyDescent="0.35">
      <c r="A7" s="1"/>
      <c r="B7" s="1"/>
      <c r="C7" s="1" t="s">
        <v>189</v>
      </c>
      <c r="D7" s="1">
        <v>500</v>
      </c>
      <c r="H7" s="23"/>
    </row>
    <row r="8" spans="1:13" ht="15.5" x14ac:dyDescent="0.35">
      <c r="A8" s="1"/>
      <c r="B8" s="1"/>
      <c r="C8" s="1" t="s">
        <v>190</v>
      </c>
      <c r="D8" s="1">
        <v>760</v>
      </c>
    </row>
    <row r="9" spans="1:13" ht="15.5" x14ac:dyDescent="0.35">
      <c r="A9" s="1"/>
      <c r="B9" s="1"/>
      <c r="C9" s="1" t="s">
        <v>191</v>
      </c>
      <c r="D9" s="1">
        <v>300</v>
      </c>
    </row>
    <row r="10" spans="1:13" ht="15.5" x14ac:dyDescent="0.35">
      <c r="A10" s="2" t="s">
        <v>53</v>
      </c>
      <c r="B10" s="2">
        <f>SUM(B2:B9)</f>
        <v>15235</v>
      </c>
      <c r="C10" s="2"/>
      <c r="D10" s="2">
        <f>SUM(D2:D9)</f>
        <v>6260</v>
      </c>
    </row>
    <row r="12" spans="1:13" ht="21" x14ac:dyDescent="0.5">
      <c r="B12" s="3" t="s">
        <v>12</v>
      </c>
      <c r="C12" s="3">
        <f>B10-D10</f>
        <v>8975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4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4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4" ht="18.5" x14ac:dyDescent="0.45">
      <c r="A19" s="6"/>
      <c r="B19" s="6"/>
      <c r="C19" s="6"/>
      <c r="D19" s="6"/>
      <c r="G19" s="10" t="s">
        <v>183</v>
      </c>
      <c r="H19" s="10" t="s">
        <v>49</v>
      </c>
      <c r="I19" s="10"/>
      <c r="J19" s="10"/>
      <c r="K19" s="10">
        <v>750</v>
      </c>
      <c r="L19" s="10"/>
      <c r="M19" s="10">
        <f>SUM(I19:L19)</f>
        <v>750</v>
      </c>
      <c r="N19" t="s">
        <v>185</v>
      </c>
    </row>
    <row r="20" spans="1:14" ht="18.5" x14ac:dyDescent="0.45">
      <c r="B20" s="6" t="s">
        <v>110</v>
      </c>
      <c r="G20" s="10" t="s">
        <v>178</v>
      </c>
      <c r="H20" s="10" t="s">
        <v>39</v>
      </c>
      <c r="I20" s="10"/>
      <c r="J20" s="10"/>
      <c r="K20" s="10"/>
      <c r="L20" s="10">
        <v>500</v>
      </c>
      <c r="M20" s="10">
        <v>500</v>
      </c>
      <c r="N20" t="s">
        <v>184</v>
      </c>
    </row>
    <row r="21" spans="1:14" ht="18.5" x14ac:dyDescent="0.45">
      <c r="B21" s="6"/>
      <c r="G21" s="7" t="s">
        <v>40</v>
      </c>
      <c r="H21" s="7" t="s">
        <v>41</v>
      </c>
      <c r="I21" s="7">
        <v>500</v>
      </c>
      <c r="J21" s="7"/>
      <c r="K21" s="7"/>
      <c r="L21" s="7">
        <v>1500</v>
      </c>
      <c r="M21" s="7">
        <f t="shared" ref="M21:M23" si="0">SUM(I21:L21)</f>
        <v>2000</v>
      </c>
      <c r="N21" t="s">
        <v>186</v>
      </c>
    </row>
    <row r="22" spans="1:14" ht="18.5" x14ac:dyDescent="0.45">
      <c r="B22" s="6"/>
      <c r="G22" s="8" t="s">
        <v>42</v>
      </c>
      <c r="H22" s="8" t="s">
        <v>41</v>
      </c>
      <c r="I22" s="8">
        <v>500</v>
      </c>
      <c r="J22" s="8">
        <v>300</v>
      </c>
      <c r="K22" s="8">
        <v>1000</v>
      </c>
      <c r="L22" s="8">
        <v>800</v>
      </c>
      <c r="M22" s="8">
        <f t="shared" si="0"/>
        <v>2600</v>
      </c>
    </row>
    <row r="23" spans="1:14" ht="18.5" x14ac:dyDescent="0.45">
      <c r="B23" s="6"/>
      <c r="G23" s="7" t="s">
        <v>43</v>
      </c>
      <c r="H23" s="7" t="s">
        <v>41</v>
      </c>
      <c r="I23" s="7"/>
      <c r="J23" s="7"/>
      <c r="K23" s="7"/>
      <c r="L23" s="7">
        <v>800</v>
      </c>
      <c r="M23" s="7">
        <f t="shared" si="0"/>
        <v>800</v>
      </c>
    </row>
    <row r="24" spans="1:14" ht="18.5" x14ac:dyDescent="0.45">
      <c r="B24" s="6"/>
      <c r="G24" s="7" t="s">
        <v>151</v>
      </c>
      <c r="H24" s="7" t="s">
        <v>45</v>
      </c>
      <c r="I24" s="7"/>
      <c r="J24" s="7"/>
      <c r="K24" s="7"/>
      <c r="L24" s="7">
        <v>500</v>
      </c>
      <c r="M24" s="7">
        <v>500</v>
      </c>
      <c r="N24" t="s">
        <v>184</v>
      </c>
    </row>
    <row r="25" spans="1:14" ht="18.5" x14ac:dyDescent="0.45">
      <c r="B25" s="6"/>
      <c r="G25" s="7"/>
      <c r="H25" s="7"/>
      <c r="I25" s="7"/>
      <c r="J25" s="10"/>
      <c r="K25" s="7"/>
      <c r="L25" s="7"/>
      <c r="M25" s="7"/>
    </row>
    <row r="26" spans="1:14" ht="18.5" x14ac:dyDescent="0.45">
      <c r="B26" s="6"/>
      <c r="G26" s="42" t="s">
        <v>53</v>
      </c>
      <c r="H26" s="43"/>
      <c r="I26" s="43"/>
      <c r="J26" s="43"/>
      <c r="K26" s="43"/>
      <c r="L26" s="44"/>
      <c r="M26" s="7">
        <f>SUM(M15:M25)</f>
        <v>10750</v>
      </c>
    </row>
    <row r="27" spans="1:14" ht="18.5" x14ac:dyDescent="0.45">
      <c r="A27" s="13"/>
    </row>
    <row r="28" spans="1:14" x14ac:dyDescent="0.35">
      <c r="H28" s="11"/>
      <c r="I28" t="s">
        <v>108</v>
      </c>
    </row>
    <row r="29" spans="1:14" ht="18.5" x14ac:dyDescent="0.45">
      <c r="A29" s="13"/>
    </row>
  </sheetData>
  <mergeCells count="5">
    <mergeCell ref="A1:B1"/>
    <mergeCell ref="C1:D1"/>
    <mergeCell ref="G13:I13"/>
    <mergeCell ref="B18:E18"/>
    <mergeCell ref="G26:L2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29"/>
  <sheetViews>
    <sheetView rightToLeft="1" workbookViewId="0">
      <selection activeCell="B3" sqref="B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8975</v>
      </c>
      <c r="C2" s="1" t="s">
        <v>109</v>
      </c>
      <c r="D2" s="1">
        <v>4020</v>
      </c>
    </row>
    <row r="3" spans="1:13" ht="15.5" x14ac:dyDescent="0.35">
      <c r="A3" s="1"/>
      <c r="B3" s="1"/>
      <c r="C3" s="1" t="s">
        <v>118</v>
      </c>
      <c r="D3" s="1">
        <v>300</v>
      </c>
    </row>
    <row r="4" spans="1:13" ht="15.5" x14ac:dyDescent="0.35">
      <c r="A4" s="1" t="s">
        <v>8</v>
      </c>
      <c r="B4" s="1">
        <v>6250</v>
      </c>
      <c r="C4" s="26" t="s">
        <v>31</v>
      </c>
      <c r="D4" s="1">
        <v>600</v>
      </c>
    </row>
    <row r="5" spans="1:13" ht="15.5" x14ac:dyDescent="0.35">
      <c r="A5" s="1" t="s">
        <v>166</v>
      </c>
      <c r="B5" s="1"/>
      <c r="C5" s="1" t="s">
        <v>187</v>
      </c>
      <c r="D5" s="1"/>
    </row>
    <row r="6" spans="1:13" ht="15.5" x14ac:dyDescent="0.35">
      <c r="A6" s="1"/>
      <c r="B6" s="1"/>
      <c r="C6" s="1" t="s">
        <v>171</v>
      </c>
      <c r="D6" s="24">
        <v>30</v>
      </c>
    </row>
    <row r="7" spans="1:13" ht="15.5" x14ac:dyDescent="0.35">
      <c r="A7" s="1"/>
      <c r="B7" s="1"/>
      <c r="C7" s="1" t="s">
        <v>189</v>
      </c>
      <c r="D7" s="1"/>
      <c r="H7" s="23"/>
    </row>
    <row r="8" spans="1:13" ht="15.5" x14ac:dyDescent="0.35">
      <c r="A8" s="1"/>
      <c r="B8" s="1"/>
      <c r="C8" s="1" t="s">
        <v>190</v>
      </c>
      <c r="D8" s="1"/>
    </row>
    <row r="9" spans="1:13" ht="15.5" x14ac:dyDescent="0.35">
      <c r="A9" s="1"/>
      <c r="B9" s="1"/>
      <c r="C9" s="1" t="s">
        <v>192</v>
      </c>
      <c r="D9" s="1">
        <v>500</v>
      </c>
    </row>
    <row r="10" spans="1:13" ht="15.5" x14ac:dyDescent="0.35">
      <c r="A10" s="2" t="s">
        <v>53</v>
      </c>
      <c r="B10" s="2">
        <f>SUM(B2:B9)</f>
        <v>15225</v>
      </c>
      <c r="C10" s="2"/>
      <c r="D10" s="2">
        <f>SUM(D2:D9)</f>
        <v>5450</v>
      </c>
    </row>
    <row r="12" spans="1:13" ht="21" x14ac:dyDescent="0.5">
      <c r="B12" s="3" t="s">
        <v>12</v>
      </c>
      <c r="C12" s="3">
        <f>B10-D10</f>
        <v>9775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4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4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4" ht="18.5" x14ac:dyDescent="0.45">
      <c r="A19" s="6"/>
      <c r="B19" s="6"/>
      <c r="C19" s="6"/>
      <c r="D19" s="6"/>
      <c r="G19" s="10" t="s">
        <v>183</v>
      </c>
      <c r="H19" s="10" t="s">
        <v>49</v>
      </c>
      <c r="I19" s="10"/>
      <c r="J19" s="10"/>
      <c r="K19" s="10">
        <v>750</v>
      </c>
      <c r="L19" s="10"/>
      <c r="M19" s="10">
        <f>SUM(I19:L19)</f>
        <v>750</v>
      </c>
      <c r="N19" t="s">
        <v>185</v>
      </c>
    </row>
    <row r="20" spans="1:14" ht="18.5" x14ac:dyDescent="0.45">
      <c r="B20" s="6" t="s">
        <v>110</v>
      </c>
      <c r="G20" s="10" t="s">
        <v>178</v>
      </c>
      <c r="H20" s="10" t="s">
        <v>39</v>
      </c>
      <c r="I20" s="10"/>
      <c r="J20" s="10"/>
      <c r="K20" s="10"/>
      <c r="L20" s="10">
        <v>500</v>
      </c>
      <c r="M20" s="10">
        <v>500</v>
      </c>
      <c r="N20" t="s">
        <v>184</v>
      </c>
    </row>
    <row r="21" spans="1:14" ht="18.5" x14ac:dyDescent="0.45">
      <c r="B21" s="6"/>
      <c r="G21" s="7" t="s">
        <v>40</v>
      </c>
      <c r="H21" s="7" t="s">
        <v>41</v>
      </c>
      <c r="I21" s="7">
        <v>500</v>
      </c>
      <c r="J21" s="7"/>
      <c r="K21" s="7"/>
      <c r="L21" s="7">
        <v>1500</v>
      </c>
      <c r="M21" s="7">
        <f t="shared" ref="M21:M23" si="0">SUM(I21:L21)</f>
        <v>2000</v>
      </c>
      <c r="N21" t="s">
        <v>186</v>
      </c>
    </row>
    <row r="22" spans="1:14" ht="18.5" x14ac:dyDescent="0.45">
      <c r="B22" s="6"/>
      <c r="G22" s="8" t="s">
        <v>42</v>
      </c>
      <c r="H22" s="8" t="s">
        <v>41</v>
      </c>
      <c r="I22" s="8">
        <v>500</v>
      </c>
      <c r="J22" s="8">
        <v>300</v>
      </c>
      <c r="K22" s="8">
        <v>1000</v>
      </c>
      <c r="L22" s="8">
        <v>800</v>
      </c>
      <c r="M22" s="8">
        <f t="shared" si="0"/>
        <v>2600</v>
      </c>
    </row>
    <row r="23" spans="1:14" ht="18.5" x14ac:dyDescent="0.45">
      <c r="B23" s="6"/>
      <c r="G23" s="7" t="s">
        <v>43</v>
      </c>
      <c r="H23" s="7" t="s">
        <v>41</v>
      </c>
      <c r="I23" s="7"/>
      <c r="J23" s="7"/>
      <c r="K23" s="7"/>
      <c r="L23" s="7">
        <v>800</v>
      </c>
      <c r="M23" s="7">
        <f t="shared" si="0"/>
        <v>800</v>
      </c>
    </row>
    <row r="24" spans="1:14" ht="18.5" x14ac:dyDescent="0.45">
      <c r="B24" s="6"/>
      <c r="G24" s="7" t="s">
        <v>151</v>
      </c>
      <c r="H24" s="7" t="s">
        <v>45</v>
      </c>
      <c r="I24" s="7"/>
      <c r="J24" s="7"/>
      <c r="K24" s="7"/>
      <c r="L24" s="7">
        <v>500</v>
      </c>
      <c r="M24" s="7">
        <v>500</v>
      </c>
      <c r="N24" t="s">
        <v>184</v>
      </c>
    </row>
    <row r="25" spans="1:14" ht="18.5" x14ac:dyDescent="0.45">
      <c r="B25" s="6"/>
      <c r="G25" s="7"/>
      <c r="H25" s="7"/>
      <c r="I25" s="7"/>
      <c r="J25" s="10"/>
      <c r="K25" s="7"/>
      <c r="L25" s="7"/>
      <c r="M25" s="7"/>
    </row>
    <row r="26" spans="1:14" ht="18.5" x14ac:dyDescent="0.45">
      <c r="B26" s="6"/>
      <c r="G26" s="42" t="s">
        <v>53</v>
      </c>
      <c r="H26" s="43"/>
      <c r="I26" s="43"/>
      <c r="J26" s="43"/>
      <c r="K26" s="43"/>
      <c r="L26" s="44"/>
      <c r="M26" s="7">
        <f>SUM(M15:M25)</f>
        <v>10750</v>
      </c>
    </row>
    <row r="27" spans="1:14" ht="18.5" x14ac:dyDescent="0.45">
      <c r="A27" s="13"/>
    </row>
    <row r="28" spans="1:14" x14ac:dyDescent="0.35">
      <c r="H28" s="11"/>
      <c r="I28" t="s">
        <v>108</v>
      </c>
    </row>
    <row r="29" spans="1:14" ht="18.5" x14ac:dyDescent="0.45">
      <c r="A29" s="13"/>
    </row>
  </sheetData>
  <mergeCells count="5">
    <mergeCell ref="A1:B1"/>
    <mergeCell ref="C1:D1"/>
    <mergeCell ref="G13:I13"/>
    <mergeCell ref="B18:E18"/>
    <mergeCell ref="G26:L2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N29"/>
  <sheetViews>
    <sheetView rightToLeft="1" workbookViewId="0">
      <selection activeCell="D9" sqref="D9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9775</v>
      </c>
      <c r="C2" s="1" t="s">
        <v>109</v>
      </c>
      <c r="D2" s="1">
        <v>4020</v>
      </c>
    </row>
    <row r="3" spans="1:13" ht="15.5" x14ac:dyDescent="0.35">
      <c r="A3" s="1"/>
      <c r="B3" s="1"/>
      <c r="C3" s="1" t="s">
        <v>118</v>
      </c>
      <c r="D3" s="1">
        <v>300</v>
      </c>
    </row>
    <row r="4" spans="1:13" ht="15.5" x14ac:dyDescent="0.35">
      <c r="A4" s="1" t="s">
        <v>8</v>
      </c>
      <c r="B4" s="1">
        <v>6000</v>
      </c>
      <c r="C4" s="26" t="s">
        <v>31</v>
      </c>
      <c r="D4" s="1">
        <v>2400</v>
      </c>
    </row>
    <row r="5" spans="1:13" ht="15.5" x14ac:dyDescent="0.35">
      <c r="A5" s="1" t="s">
        <v>166</v>
      </c>
      <c r="B5" s="1"/>
      <c r="C5" s="1" t="s">
        <v>187</v>
      </c>
      <c r="D5" s="1">
        <v>120</v>
      </c>
    </row>
    <row r="6" spans="1:13" ht="15.5" x14ac:dyDescent="0.35">
      <c r="A6" s="1"/>
      <c r="B6" s="1"/>
      <c r="C6" s="1" t="s">
        <v>171</v>
      </c>
      <c r="D6" s="24">
        <v>100</v>
      </c>
    </row>
    <row r="7" spans="1:13" ht="15.5" x14ac:dyDescent="0.35">
      <c r="A7" s="1"/>
      <c r="B7" s="1"/>
      <c r="C7" s="1" t="s">
        <v>189</v>
      </c>
      <c r="D7" s="1"/>
      <c r="H7" s="23"/>
    </row>
    <row r="8" spans="1:13" ht="15.5" x14ac:dyDescent="0.35">
      <c r="A8" s="1"/>
      <c r="B8" s="1"/>
      <c r="C8" s="1" t="s">
        <v>190</v>
      </c>
      <c r="D8" s="1">
        <v>800</v>
      </c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15775</v>
      </c>
      <c r="C10" s="2"/>
      <c r="D10" s="2">
        <f>SUM(D2:D9)</f>
        <v>7740</v>
      </c>
    </row>
    <row r="12" spans="1:13" ht="21" x14ac:dyDescent="0.5">
      <c r="B12" s="3" t="s">
        <v>12</v>
      </c>
      <c r="C12" s="3">
        <f>B10-D10</f>
        <v>8035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4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4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4" ht="18.5" x14ac:dyDescent="0.45">
      <c r="A19" s="6"/>
      <c r="B19" s="6"/>
      <c r="C19" s="6"/>
      <c r="D19" s="6"/>
      <c r="G19" s="10" t="s">
        <v>183</v>
      </c>
      <c r="H19" s="10" t="s">
        <v>49</v>
      </c>
      <c r="I19" s="10"/>
      <c r="J19" s="10"/>
      <c r="K19" s="10">
        <v>750</v>
      </c>
      <c r="L19" s="10"/>
      <c r="M19" s="10">
        <f>SUM(I19:L19)</f>
        <v>750</v>
      </c>
      <c r="N19" t="s">
        <v>185</v>
      </c>
    </row>
    <row r="20" spans="1:14" ht="18.5" x14ac:dyDescent="0.45">
      <c r="B20" s="6" t="s">
        <v>110</v>
      </c>
      <c r="G20" s="10" t="s">
        <v>178</v>
      </c>
      <c r="H20" s="10" t="s">
        <v>39</v>
      </c>
      <c r="I20" s="10"/>
      <c r="J20" s="10"/>
      <c r="K20" s="10"/>
      <c r="L20" s="10">
        <v>500</v>
      </c>
      <c r="M20" s="10">
        <v>500</v>
      </c>
      <c r="N20" t="s">
        <v>184</v>
      </c>
    </row>
    <row r="21" spans="1:14" ht="18.5" x14ac:dyDescent="0.45">
      <c r="B21" s="6"/>
      <c r="G21" s="7" t="s">
        <v>40</v>
      </c>
      <c r="H21" s="7" t="s">
        <v>41</v>
      </c>
      <c r="I21" s="7">
        <v>500</v>
      </c>
      <c r="J21" s="7"/>
      <c r="K21" s="7"/>
      <c r="L21" s="7">
        <v>1500</v>
      </c>
      <c r="M21" s="7">
        <f t="shared" ref="M21:M23" si="0">SUM(I21:L21)</f>
        <v>2000</v>
      </c>
      <c r="N21" t="s">
        <v>186</v>
      </c>
    </row>
    <row r="22" spans="1:14" ht="18.5" x14ac:dyDescent="0.45">
      <c r="B22" s="6"/>
      <c r="G22" s="8" t="s">
        <v>42</v>
      </c>
      <c r="H22" s="8" t="s">
        <v>41</v>
      </c>
      <c r="I22" s="8">
        <v>500</v>
      </c>
      <c r="J22" s="8">
        <v>300</v>
      </c>
      <c r="K22" s="8">
        <v>1000</v>
      </c>
      <c r="L22" s="8">
        <v>800</v>
      </c>
      <c r="M22" s="8">
        <f t="shared" si="0"/>
        <v>2600</v>
      </c>
    </row>
    <row r="23" spans="1:14" ht="18.5" x14ac:dyDescent="0.45">
      <c r="B23" s="6"/>
      <c r="G23" s="7" t="s">
        <v>43</v>
      </c>
      <c r="H23" s="7" t="s">
        <v>41</v>
      </c>
      <c r="I23" s="7"/>
      <c r="J23" s="7"/>
      <c r="K23" s="7"/>
      <c r="L23" s="7">
        <v>800</v>
      </c>
      <c r="M23" s="7">
        <f t="shared" si="0"/>
        <v>800</v>
      </c>
    </row>
    <row r="24" spans="1:14" ht="18.5" x14ac:dyDescent="0.45">
      <c r="B24" s="6"/>
      <c r="G24" s="7" t="s">
        <v>151</v>
      </c>
      <c r="H24" s="7" t="s">
        <v>45</v>
      </c>
      <c r="I24" s="7"/>
      <c r="J24" s="7"/>
      <c r="K24" s="7"/>
      <c r="L24" s="7">
        <v>500</v>
      </c>
      <c r="M24" s="7">
        <v>500</v>
      </c>
      <c r="N24" t="s">
        <v>184</v>
      </c>
    </row>
    <row r="25" spans="1:14" ht="18.5" x14ac:dyDescent="0.45">
      <c r="B25" s="6"/>
      <c r="G25" s="7"/>
      <c r="H25" s="7"/>
      <c r="I25" s="7"/>
      <c r="J25" s="10"/>
      <c r="K25" s="7"/>
      <c r="L25" s="7"/>
      <c r="M25" s="7"/>
    </row>
    <row r="26" spans="1:14" ht="18.5" x14ac:dyDescent="0.45">
      <c r="B26" s="6"/>
      <c r="G26" s="42" t="s">
        <v>53</v>
      </c>
      <c r="H26" s="43"/>
      <c r="I26" s="43"/>
      <c r="J26" s="43"/>
      <c r="K26" s="43"/>
      <c r="L26" s="44"/>
      <c r="M26" s="7">
        <f>SUM(M15:M25)</f>
        <v>10750</v>
      </c>
    </row>
    <row r="27" spans="1:14" ht="18.5" x14ac:dyDescent="0.45">
      <c r="A27" s="13"/>
    </row>
    <row r="28" spans="1:14" x14ac:dyDescent="0.35">
      <c r="H28" s="11"/>
      <c r="I28" t="s">
        <v>108</v>
      </c>
    </row>
    <row r="29" spans="1:14" ht="18.5" x14ac:dyDescent="0.45">
      <c r="A29" s="13"/>
    </row>
  </sheetData>
  <mergeCells count="5">
    <mergeCell ref="A1:B1"/>
    <mergeCell ref="C1:D1"/>
    <mergeCell ref="G13:I13"/>
    <mergeCell ref="B18:E18"/>
    <mergeCell ref="G26:L2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29"/>
  <sheetViews>
    <sheetView rightToLeft="1" workbookViewId="0">
      <selection activeCell="F8" sqref="F8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8035</v>
      </c>
      <c r="C2" s="1" t="s">
        <v>109</v>
      </c>
      <c r="D2" s="1">
        <v>4000</v>
      </c>
    </row>
    <row r="3" spans="1:13" ht="15.5" x14ac:dyDescent="0.35">
      <c r="A3" s="1"/>
      <c r="B3" s="1"/>
      <c r="C3" s="1" t="s">
        <v>118</v>
      </c>
      <c r="D3" s="1">
        <v>300</v>
      </c>
    </row>
    <row r="4" spans="1:13" ht="15.5" x14ac:dyDescent="0.35">
      <c r="A4" s="1" t="s">
        <v>8</v>
      </c>
      <c r="B4" s="1">
        <v>6250</v>
      </c>
      <c r="C4" s="26" t="s">
        <v>31</v>
      </c>
      <c r="D4" s="1"/>
    </row>
    <row r="5" spans="1:13" ht="15.5" x14ac:dyDescent="0.35">
      <c r="A5" s="1" t="s">
        <v>166</v>
      </c>
      <c r="B5" s="1"/>
      <c r="C5" s="1" t="s">
        <v>187</v>
      </c>
      <c r="D5" s="1"/>
    </row>
    <row r="6" spans="1:13" ht="15.5" x14ac:dyDescent="0.35">
      <c r="A6" s="1"/>
      <c r="B6" s="1"/>
      <c r="C6" s="1" t="s">
        <v>171</v>
      </c>
      <c r="D6" s="24">
        <v>100</v>
      </c>
    </row>
    <row r="7" spans="1:13" ht="15.5" x14ac:dyDescent="0.35">
      <c r="A7" s="1"/>
      <c r="B7" s="1"/>
      <c r="C7" s="1" t="s">
        <v>189</v>
      </c>
      <c r="D7" s="1"/>
      <c r="H7" s="23"/>
    </row>
    <row r="8" spans="1:13" ht="15.5" x14ac:dyDescent="0.35">
      <c r="A8" s="1"/>
      <c r="B8" s="1"/>
      <c r="C8" s="1" t="s">
        <v>190</v>
      </c>
      <c r="D8" s="1"/>
    </row>
    <row r="9" spans="1:13" ht="15.5" x14ac:dyDescent="0.35">
      <c r="A9" s="1"/>
      <c r="B9" s="1"/>
      <c r="C9" s="1" t="s">
        <v>192</v>
      </c>
      <c r="D9" s="1"/>
    </row>
    <row r="10" spans="1:13" ht="15.5" x14ac:dyDescent="0.35">
      <c r="A10" s="2" t="s">
        <v>53</v>
      </c>
      <c r="B10" s="2">
        <f>SUM(B2:B9)</f>
        <v>14285</v>
      </c>
      <c r="C10" s="2"/>
      <c r="D10" s="2">
        <f>SUM(D2:D9)</f>
        <v>4400</v>
      </c>
    </row>
    <row r="12" spans="1:13" ht="21" x14ac:dyDescent="0.5">
      <c r="B12" s="3" t="s">
        <v>12</v>
      </c>
      <c r="C12" s="3">
        <f>B10-D10</f>
        <v>9885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4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4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4" ht="18.5" x14ac:dyDescent="0.45">
      <c r="A19" s="6"/>
      <c r="B19" s="6"/>
      <c r="C19" s="6"/>
      <c r="D19" s="6"/>
      <c r="G19" s="10" t="s">
        <v>183</v>
      </c>
      <c r="H19" s="10" t="s">
        <v>49</v>
      </c>
      <c r="I19" s="10"/>
      <c r="J19" s="10"/>
      <c r="K19" s="10">
        <v>750</v>
      </c>
      <c r="L19" s="10"/>
      <c r="M19" s="10">
        <f>SUM(I19:L19)</f>
        <v>750</v>
      </c>
      <c r="N19" t="s">
        <v>185</v>
      </c>
    </row>
    <row r="20" spans="1:14" ht="18.5" x14ac:dyDescent="0.45">
      <c r="B20" s="6" t="s">
        <v>110</v>
      </c>
      <c r="G20" s="10" t="s">
        <v>178</v>
      </c>
      <c r="H20" s="10" t="s">
        <v>39</v>
      </c>
      <c r="I20" s="10"/>
      <c r="J20" s="10"/>
      <c r="K20" s="10"/>
      <c r="L20" s="10">
        <v>500</v>
      </c>
      <c r="M20" s="10">
        <v>500</v>
      </c>
      <c r="N20" t="s">
        <v>184</v>
      </c>
    </row>
    <row r="21" spans="1:14" ht="18.5" x14ac:dyDescent="0.45">
      <c r="B21" s="6"/>
      <c r="G21" s="7" t="s">
        <v>40</v>
      </c>
      <c r="H21" s="7" t="s">
        <v>41</v>
      </c>
      <c r="I21" s="7">
        <v>500</v>
      </c>
      <c r="J21" s="7"/>
      <c r="K21" s="7"/>
      <c r="L21" s="7">
        <v>1500</v>
      </c>
      <c r="M21" s="7">
        <f t="shared" ref="M21:M23" si="0">SUM(I21:L21)</f>
        <v>2000</v>
      </c>
      <c r="N21" t="s">
        <v>186</v>
      </c>
    </row>
    <row r="22" spans="1:14" ht="18.5" x14ac:dyDescent="0.45">
      <c r="B22" s="6"/>
      <c r="G22" s="8" t="s">
        <v>42</v>
      </c>
      <c r="H22" s="8" t="s">
        <v>41</v>
      </c>
      <c r="I22" s="8">
        <v>500</v>
      </c>
      <c r="J22" s="8">
        <v>300</v>
      </c>
      <c r="K22" s="8">
        <v>1000</v>
      </c>
      <c r="L22" s="8">
        <v>800</v>
      </c>
      <c r="M22" s="8">
        <f t="shared" si="0"/>
        <v>2600</v>
      </c>
    </row>
    <row r="23" spans="1:14" ht="18.5" x14ac:dyDescent="0.45">
      <c r="B23" s="6"/>
      <c r="G23" s="7" t="s">
        <v>43</v>
      </c>
      <c r="H23" s="7" t="s">
        <v>41</v>
      </c>
      <c r="I23" s="7"/>
      <c r="J23" s="7"/>
      <c r="K23" s="7"/>
      <c r="L23" s="7">
        <v>800</v>
      </c>
      <c r="M23" s="7">
        <f t="shared" si="0"/>
        <v>800</v>
      </c>
    </row>
    <row r="24" spans="1:14" ht="18.5" x14ac:dyDescent="0.45">
      <c r="B24" s="6"/>
      <c r="G24" s="7" t="s">
        <v>151</v>
      </c>
      <c r="H24" s="7" t="s">
        <v>45</v>
      </c>
      <c r="I24" s="7"/>
      <c r="J24" s="7"/>
      <c r="K24" s="7"/>
      <c r="L24" s="7">
        <v>500</v>
      </c>
      <c r="M24" s="7">
        <v>500</v>
      </c>
      <c r="N24" t="s">
        <v>184</v>
      </c>
    </row>
    <row r="25" spans="1:14" ht="18.5" x14ac:dyDescent="0.45">
      <c r="B25" s="6"/>
      <c r="G25" s="7"/>
      <c r="H25" s="7"/>
      <c r="I25" s="7"/>
      <c r="J25" s="10"/>
      <c r="K25" s="7"/>
      <c r="L25" s="7"/>
      <c r="M25" s="7"/>
    </row>
    <row r="26" spans="1:14" ht="18.5" x14ac:dyDescent="0.45">
      <c r="B26" s="6"/>
      <c r="G26" s="42" t="s">
        <v>53</v>
      </c>
      <c r="H26" s="43"/>
      <c r="I26" s="43"/>
      <c r="J26" s="43"/>
      <c r="K26" s="43"/>
      <c r="L26" s="44"/>
      <c r="M26" s="7">
        <f>SUM(M15:M25)</f>
        <v>10750</v>
      </c>
    </row>
    <row r="27" spans="1:14" ht="18.5" x14ac:dyDescent="0.45">
      <c r="A27" s="13"/>
    </row>
    <row r="28" spans="1:14" x14ac:dyDescent="0.35">
      <c r="H28" s="11"/>
      <c r="I28" t="s">
        <v>108</v>
      </c>
    </row>
    <row r="29" spans="1:14" ht="18.5" x14ac:dyDescent="0.45">
      <c r="A29" s="13"/>
    </row>
  </sheetData>
  <mergeCells count="5">
    <mergeCell ref="A1:B1"/>
    <mergeCell ref="C1:D1"/>
    <mergeCell ref="G13:I13"/>
    <mergeCell ref="B18:E18"/>
    <mergeCell ref="G26:L2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29"/>
  <sheetViews>
    <sheetView rightToLeft="1" workbookViewId="0">
      <selection activeCell="B3" sqref="B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9885</v>
      </c>
      <c r="C2" s="1" t="s">
        <v>109</v>
      </c>
      <c r="D2" s="1">
        <v>4000</v>
      </c>
    </row>
    <row r="3" spans="1:13" ht="15.5" x14ac:dyDescent="0.35">
      <c r="A3" s="1"/>
      <c r="B3" s="1"/>
      <c r="C3" s="1" t="s">
        <v>118</v>
      </c>
      <c r="D3" s="1">
        <v>300</v>
      </c>
    </row>
    <row r="4" spans="1:13" ht="15.5" x14ac:dyDescent="0.35">
      <c r="A4" s="1" t="s">
        <v>8</v>
      </c>
      <c r="B4" s="1">
        <v>6000</v>
      </c>
      <c r="C4" s="26" t="s">
        <v>31</v>
      </c>
      <c r="D4" s="1"/>
    </row>
    <row r="5" spans="1:13" ht="16" thickBot="1" x14ac:dyDescent="0.4">
      <c r="A5" s="1" t="s">
        <v>166</v>
      </c>
      <c r="B5" s="1"/>
      <c r="C5" s="1" t="s">
        <v>187</v>
      </c>
      <c r="D5" s="28">
        <v>150</v>
      </c>
    </row>
    <row r="6" spans="1:13" ht="16" thickBot="1" x14ac:dyDescent="0.4">
      <c r="A6" s="1"/>
      <c r="B6" s="1"/>
      <c r="C6" s="27" t="s">
        <v>171</v>
      </c>
      <c r="D6" s="30"/>
    </row>
    <row r="7" spans="1:13" ht="15.5" x14ac:dyDescent="0.35">
      <c r="A7" s="1"/>
      <c r="B7" s="1"/>
      <c r="C7" s="1" t="s">
        <v>189</v>
      </c>
      <c r="D7" s="29"/>
      <c r="H7" s="23"/>
    </row>
    <row r="8" spans="1:13" ht="15.5" x14ac:dyDescent="0.35">
      <c r="A8" s="1"/>
      <c r="B8" s="1"/>
      <c r="C8" s="1" t="s">
        <v>190</v>
      </c>
      <c r="D8" s="24">
        <v>100</v>
      </c>
    </row>
    <row r="9" spans="1:13" ht="15.5" x14ac:dyDescent="0.35">
      <c r="A9" s="1"/>
      <c r="B9" s="1"/>
      <c r="C9" s="1"/>
      <c r="D9" s="1"/>
    </row>
    <row r="10" spans="1:13" ht="15.5" x14ac:dyDescent="0.35">
      <c r="A10" s="2" t="s">
        <v>53</v>
      </c>
      <c r="B10" s="2">
        <f>SUM(B2:B9)</f>
        <v>15885</v>
      </c>
      <c r="C10" s="2"/>
      <c r="D10" s="2">
        <f>SUM(D2:D9)</f>
        <v>4550</v>
      </c>
      <c r="F10">
        <f>B4-D10</f>
        <v>1450</v>
      </c>
    </row>
    <row r="12" spans="1:13" ht="21" x14ac:dyDescent="0.5">
      <c r="B12" s="3" t="s">
        <v>12</v>
      </c>
      <c r="C12" s="3">
        <f>B10-D10</f>
        <v>11335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4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4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4" ht="18.5" x14ac:dyDescent="0.45">
      <c r="A19" s="6"/>
      <c r="B19" s="6"/>
      <c r="C19" s="6"/>
      <c r="D19" s="6"/>
      <c r="G19" s="10" t="s">
        <v>183</v>
      </c>
      <c r="H19" s="10" t="s">
        <v>49</v>
      </c>
      <c r="I19" s="10"/>
      <c r="J19" s="10"/>
      <c r="K19" s="10">
        <v>500</v>
      </c>
      <c r="L19" s="10"/>
      <c r="M19" s="10">
        <f>SUM(I19:L19)</f>
        <v>500</v>
      </c>
      <c r="N19" t="s">
        <v>184</v>
      </c>
    </row>
    <row r="20" spans="1:14" ht="18.5" x14ac:dyDescent="0.45">
      <c r="B20" s="6" t="s">
        <v>110</v>
      </c>
      <c r="G20" s="10" t="s">
        <v>178</v>
      </c>
      <c r="H20" s="10" t="s">
        <v>39</v>
      </c>
      <c r="I20" s="10"/>
      <c r="J20" s="10"/>
      <c r="K20" s="10"/>
      <c r="L20" s="10">
        <v>500</v>
      </c>
      <c r="M20" s="10">
        <v>500</v>
      </c>
      <c r="N20" t="s">
        <v>184</v>
      </c>
    </row>
    <row r="21" spans="1:14" ht="18.5" x14ac:dyDescent="0.45">
      <c r="B21" s="6"/>
      <c r="G21" s="7" t="s">
        <v>40</v>
      </c>
      <c r="H21" s="7" t="s">
        <v>41</v>
      </c>
      <c r="I21" s="7">
        <v>500</v>
      </c>
      <c r="J21" s="7"/>
      <c r="K21" s="7"/>
      <c r="L21" s="7">
        <v>1500</v>
      </c>
      <c r="M21" s="7">
        <f t="shared" ref="M21:M23" si="0">SUM(I21:L21)</f>
        <v>2000</v>
      </c>
      <c r="N21" t="s">
        <v>186</v>
      </c>
    </row>
    <row r="22" spans="1:14" ht="18.5" x14ac:dyDescent="0.45">
      <c r="B22" s="6"/>
      <c r="G22" s="8" t="s">
        <v>42</v>
      </c>
      <c r="H22" s="8" t="s">
        <v>41</v>
      </c>
      <c r="I22" s="8">
        <v>500</v>
      </c>
      <c r="J22" s="8">
        <v>300</v>
      </c>
      <c r="K22" s="8">
        <v>1000</v>
      </c>
      <c r="L22" s="8">
        <v>800</v>
      </c>
      <c r="M22" s="8">
        <f t="shared" si="0"/>
        <v>2600</v>
      </c>
    </row>
    <row r="23" spans="1:14" ht="18.5" x14ac:dyDescent="0.45">
      <c r="B23" s="6"/>
      <c r="G23" s="7" t="s">
        <v>43</v>
      </c>
      <c r="H23" s="7" t="s">
        <v>41</v>
      </c>
      <c r="I23" s="7"/>
      <c r="J23" s="7"/>
      <c r="K23" s="7"/>
      <c r="L23" s="7">
        <v>800</v>
      </c>
      <c r="M23" s="7">
        <f t="shared" si="0"/>
        <v>800</v>
      </c>
    </row>
    <row r="24" spans="1:14" ht="18.5" x14ac:dyDescent="0.45">
      <c r="B24" s="6"/>
      <c r="G24" s="7" t="s">
        <v>151</v>
      </c>
      <c r="H24" s="7" t="s">
        <v>45</v>
      </c>
      <c r="I24" s="7"/>
      <c r="J24" s="7"/>
      <c r="K24" s="7"/>
      <c r="L24" s="7">
        <v>500</v>
      </c>
      <c r="M24" s="7">
        <v>500</v>
      </c>
      <c r="N24" t="s">
        <v>184</v>
      </c>
    </row>
    <row r="25" spans="1:14" ht="18.5" x14ac:dyDescent="0.45">
      <c r="B25" s="6"/>
      <c r="G25" s="7"/>
      <c r="H25" s="7"/>
      <c r="I25" s="7"/>
      <c r="J25" s="10"/>
      <c r="K25" s="7"/>
      <c r="L25" s="7"/>
      <c r="M25" s="7"/>
    </row>
    <row r="26" spans="1:14" ht="18.5" x14ac:dyDescent="0.45">
      <c r="B26" s="6"/>
      <c r="G26" s="42" t="s">
        <v>53</v>
      </c>
      <c r="H26" s="43"/>
      <c r="I26" s="43"/>
      <c r="J26" s="43"/>
      <c r="K26" s="43"/>
      <c r="L26" s="44"/>
      <c r="M26" s="7">
        <f>SUM(M15:M25)</f>
        <v>10500</v>
      </c>
    </row>
    <row r="27" spans="1:14" ht="18.5" x14ac:dyDescent="0.45">
      <c r="A27" s="13"/>
    </row>
    <row r="28" spans="1:14" x14ac:dyDescent="0.35">
      <c r="H28" s="11"/>
      <c r="I28" t="s">
        <v>108</v>
      </c>
    </row>
    <row r="29" spans="1:14" ht="18.5" x14ac:dyDescent="0.45">
      <c r="A29" s="13"/>
    </row>
  </sheetData>
  <mergeCells count="5">
    <mergeCell ref="A1:B1"/>
    <mergeCell ref="C1:D1"/>
    <mergeCell ref="G13:I13"/>
    <mergeCell ref="B18:E18"/>
    <mergeCell ref="G26:L2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N29"/>
  <sheetViews>
    <sheetView rightToLeft="1" workbookViewId="0">
      <selection activeCell="B4" sqref="B4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11335</v>
      </c>
      <c r="C2" s="1" t="s">
        <v>109</v>
      </c>
      <c r="D2" s="1">
        <v>4000</v>
      </c>
    </row>
    <row r="3" spans="1:13" ht="15.5" x14ac:dyDescent="0.35">
      <c r="A3" s="1"/>
      <c r="B3" s="1"/>
      <c r="C3" s="1" t="s">
        <v>118</v>
      </c>
      <c r="D3" s="1">
        <v>300</v>
      </c>
    </row>
    <row r="4" spans="1:13" ht="15.5" x14ac:dyDescent="0.35">
      <c r="A4" s="1" t="s">
        <v>8</v>
      </c>
      <c r="B4" s="1">
        <v>6250</v>
      </c>
      <c r="C4" s="26" t="s">
        <v>31</v>
      </c>
      <c r="D4" s="1">
        <v>1300</v>
      </c>
    </row>
    <row r="5" spans="1:13" ht="16" thickBot="1" x14ac:dyDescent="0.4">
      <c r="A5" s="1" t="s">
        <v>166</v>
      </c>
      <c r="B5" s="1"/>
      <c r="C5" s="1" t="s">
        <v>187</v>
      </c>
      <c r="D5" s="28"/>
    </row>
    <row r="6" spans="1:13" ht="16" thickBot="1" x14ac:dyDescent="0.4">
      <c r="A6" s="1"/>
      <c r="B6" s="1"/>
      <c r="C6" s="27" t="s">
        <v>171</v>
      </c>
      <c r="D6" s="30"/>
    </row>
    <row r="7" spans="1:13" ht="15.5" x14ac:dyDescent="0.35">
      <c r="A7" s="1"/>
      <c r="B7" s="1"/>
      <c r="C7" s="1" t="s">
        <v>189</v>
      </c>
      <c r="D7" s="29"/>
      <c r="H7" s="23"/>
    </row>
    <row r="8" spans="1:13" ht="15.5" x14ac:dyDescent="0.35">
      <c r="A8" s="1"/>
      <c r="B8" s="1"/>
      <c r="C8" s="1" t="s">
        <v>190</v>
      </c>
      <c r="D8" s="24">
        <v>800</v>
      </c>
    </row>
    <row r="9" spans="1:13" ht="15.5" x14ac:dyDescent="0.35">
      <c r="A9" s="1"/>
      <c r="B9" s="1"/>
      <c r="C9" s="1" t="s">
        <v>157</v>
      </c>
      <c r="D9" s="1">
        <v>5500</v>
      </c>
    </row>
    <row r="10" spans="1:13" ht="15.5" x14ac:dyDescent="0.35">
      <c r="A10" s="2" t="s">
        <v>53</v>
      </c>
      <c r="B10" s="2">
        <f>SUM(B2:B9)</f>
        <v>17585</v>
      </c>
      <c r="C10" s="2"/>
      <c r="D10" s="2">
        <f>SUM(D2:D9)</f>
        <v>11900</v>
      </c>
    </row>
    <row r="12" spans="1:13" ht="21" x14ac:dyDescent="0.5">
      <c r="B12" s="3" t="s">
        <v>12</v>
      </c>
      <c r="C12" s="3">
        <f>B10-D10</f>
        <v>5685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4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4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4" ht="18.5" x14ac:dyDescent="0.45">
      <c r="A19" s="6"/>
      <c r="B19" s="6"/>
      <c r="C19" s="6"/>
      <c r="D19" s="6"/>
      <c r="G19" s="10" t="s">
        <v>183</v>
      </c>
      <c r="H19" s="10" t="s">
        <v>49</v>
      </c>
      <c r="I19" s="10"/>
      <c r="J19" s="10"/>
      <c r="K19" s="10">
        <v>500</v>
      </c>
      <c r="L19" s="10"/>
      <c r="M19" s="10">
        <f>SUM(I19:L19)</f>
        <v>500</v>
      </c>
      <c r="N19" t="s">
        <v>185</v>
      </c>
    </row>
    <row r="20" spans="1:14" ht="18.5" x14ac:dyDescent="0.45">
      <c r="B20" s="6" t="s">
        <v>110</v>
      </c>
      <c r="G20" s="10" t="s">
        <v>178</v>
      </c>
      <c r="H20" s="10" t="s">
        <v>39</v>
      </c>
      <c r="I20" s="10"/>
      <c r="J20" s="10"/>
      <c r="K20" s="10"/>
      <c r="L20" s="10">
        <v>500</v>
      </c>
      <c r="M20" s="10">
        <v>500</v>
      </c>
      <c r="N20" t="s">
        <v>184</v>
      </c>
    </row>
    <row r="21" spans="1:14" ht="18.5" x14ac:dyDescent="0.45">
      <c r="B21" s="6"/>
      <c r="G21" s="7" t="s">
        <v>40</v>
      </c>
      <c r="H21" s="7" t="s">
        <v>41</v>
      </c>
      <c r="I21" s="7">
        <v>500</v>
      </c>
      <c r="J21" s="7"/>
      <c r="K21" s="7"/>
      <c r="L21" s="7">
        <v>1500</v>
      </c>
      <c r="M21" s="7">
        <f t="shared" ref="M21:M23" si="0">SUM(I21:L21)</f>
        <v>2000</v>
      </c>
      <c r="N21" t="s">
        <v>186</v>
      </c>
    </row>
    <row r="22" spans="1:14" ht="18.5" x14ac:dyDescent="0.45">
      <c r="B22" s="6"/>
      <c r="G22" s="8" t="s">
        <v>42</v>
      </c>
      <c r="H22" s="8" t="s">
        <v>41</v>
      </c>
      <c r="I22" s="8">
        <v>500</v>
      </c>
      <c r="J22" s="8">
        <v>300</v>
      </c>
      <c r="K22" s="8">
        <v>1000</v>
      </c>
      <c r="L22" s="8">
        <v>800</v>
      </c>
      <c r="M22" s="8">
        <f t="shared" si="0"/>
        <v>2600</v>
      </c>
    </row>
    <row r="23" spans="1:14" ht="18.5" x14ac:dyDescent="0.45">
      <c r="B23" s="6"/>
      <c r="G23" s="7" t="s">
        <v>43</v>
      </c>
      <c r="H23" s="7" t="s">
        <v>41</v>
      </c>
      <c r="I23" s="7"/>
      <c r="J23" s="7"/>
      <c r="K23" s="7"/>
      <c r="L23" s="7">
        <v>800</v>
      </c>
      <c r="M23" s="7">
        <f t="shared" si="0"/>
        <v>800</v>
      </c>
    </row>
    <row r="24" spans="1:14" ht="18.5" x14ac:dyDescent="0.45">
      <c r="B24" s="6"/>
      <c r="G24" s="7" t="s">
        <v>151</v>
      </c>
      <c r="H24" s="7" t="s">
        <v>45</v>
      </c>
      <c r="I24" s="7"/>
      <c r="J24" s="7"/>
      <c r="K24" s="7"/>
      <c r="L24" s="7">
        <v>500</v>
      </c>
      <c r="M24" s="7">
        <v>500</v>
      </c>
      <c r="N24" t="s">
        <v>184</v>
      </c>
    </row>
    <row r="25" spans="1:14" ht="18.5" x14ac:dyDescent="0.45">
      <c r="B25" s="6"/>
      <c r="G25" s="7"/>
      <c r="H25" s="7"/>
      <c r="I25" s="7"/>
      <c r="J25" s="10"/>
      <c r="K25" s="7"/>
      <c r="L25" s="7"/>
      <c r="M25" s="7"/>
    </row>
    <row r="26" spans="1:14" ht="18.5" x14ac:dyDescent="0.45">
      <c r="B26" s="6"/>
      <c r="G26" s="42" t="s">
        <v>53</v>
      </c>
      <c r="H26" s="43"/>
      <c r="I26" s="43"/>
      <c r="J26" s="43"/>
      <c r="K26" s="43"/>
      <c r="L26" s="44"/>
      <c r="M26" s="7">
        <f>SUM(M15:M25)</f>
        <v>10500</v>
      </c>
    </row>
    <row r="27" spans="1:14" ht="18.5" x14ac:dyDescent="0.45">
      <c r="A27" s="13"/>
    </row>
    <row r="28" spans="1:14" x14ac:dyDescent="0.35">
      <c r="H28" s="11"/>
      <c r="I28" t="s">
        <v>108</v>
      </c>
    </row>
    <row r="29" spans="1:14" ht="18.5" x14ac:dyDescent="0.45">
      <c r="A29" s="13"/>
    </row>
  </sheetData>
  <mergeCells count="5">
    <mergeCell ref="A1:B1"/>
    <mergeCell ref="C1:D1"/>
    <mergeCell ref="G13:I13"/>
    <mergeCell ref="B18:E18"/>
    <mergeCell ref="G26:L2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N29"/>
  <sheetViews>
    <sheetView rightToLeft="1" tabSelected="1" workbookViewId="0">
      <selection activeCell="B3" sqref="B3"/>
    </sheetView>
  </sheetViews>
  <sheetFormatPr defaultRowHeight="14.5" x14ac:dyDescent="0.35"/>
  <cols>
    <col min="1" max="1" width="12.08984375" bestFit="1" customWidth="1"/>
    <col min="2" max="2" width="15.36328125" bestFit="1" customWidth="1"/>
    <col min="3" max="3" width="16.453125" bestFit="1" customWidth="1"/>
  </cols>
  <sheetData>
    <row r="1" spans="1:13" ht="18.5" x14ac:dyDescent="0.45">
      <c r="A1" s="40" t="s">
        <v>0</v>
      </c>
      <c r="B1" s="40"/>
      <c r="C1" s="40" t="s">
        <v>1</v>
      </c>
      <c r="D1" s="40"/>
    </row>
    <row r="2" spans="1:13" ht="15.5" x14ac:dyDescent="0.35">
      <c r="A2" s="1" t="s">
        <v>2</v>
      </c>
      <c r="B2" s="1">
        <v>5685</v>
      </c>
      <c r="C2" s="1" t="s">
        <v>109</v>
      </c>
      <c r="D2" s="1">
        <v>5000</v>
      </c>
    </row>
    <row r="3" spans="1:13" ht="15.5" x14ac:dyDescent="0.35">
      <c r="A3" s="1"/>
      <c r="B3" s="1"/>
      <c r="C3" s="1" t="s">
        <v>118</v>
      </c>
      <c r="D3" s="1">
        <v>300</v>
      </c>
    </row>
    <row r="4" spans="1:13" ht="15.5" x14ac:dyDescent="0.35">
      <c r="A4" s="1" t="s">
        <v>8</v>
      </c>
      <c r="B4" s="1">
        <v>6250</v>
      </c>
      <c r="C4" s="26" t="s">
        <v>31</v>
      </c>
      <c r="D4" s="1"/>
    </row>
    <row r="5" spans="1:13" ht="16" thickBot="1" x14ac:dyDescent="0.4">
      <c r="A5" s="1" t="s">
        <v>166</v>
      </c>
      <c r="B5" s="1"/>
      <c r="C5" s="1" t="s">
        <v>187</v>
      </c>
      <c r="D5" s="28"/>
    </row>
    <row r="6" spans="1:13" ht="16" thickBot="1" x14ac:dyDescent="0.4">
      <c r="A6" s="1"/>
      <c r="B6" s="1"/>
      <c r="C6" s="27" t="s">
        <v>171</v>
      </c>
      <c r="D6" s="30">
        <v>50</v>
      </c>
    </row>
    <row r="7" spans="1:13" ht="15.5" x14ac:dyDescent="0.35">
      <c r="A7" s="1"/>
      <c r="B7" s="1"/>
      <c r="C7" s="1" t="s">
        <v>189</v>
      </c>
      <c r="D7" s="29"/>
      <c r="H7" s="23"/>
    </row>
    <row r="8" spans="1:13" ht="15.5" x14ac:dyDescent="0.35">
      <c r="A8" s="1"/>
      <c r="B8" s="1"/>
      <c r="C8" s="1" t="s">
        <v>190</v>
      </c>
      <c r="D8" s="24">
        <v>450</v>
      </c>
    </row>
    <row r="9" spans="1:13" ht="15.5" x14ac:dyDescent="0.35">
      <c r="A9" s="1"/>
      <c r="B9" s="1"/>
      <c r="C9" s="1" t="s">
        <v>157</v>
      </c>
      <c r="D9" s="1">
        <v>1200</v>
      </c>
    </row>
    <row r="10" spans="1:13" ht="15.5" x14ac:dyDescent="0.35">
      <c r="A10" s="2" t="s">
        <v>53</v>
      </c>
      <c r="B10" s="2">
        <f>SUM(B2:B9)</f>
        <v>11935</v>
      </c>
      <c r="C10" s="2"/>
      <c r="D10" s="2">
        <f>SUM(D2:D9)</f>
        <v>7000</v>
      </c>
    </row>
    <row r="12" spans="1:13" ht="21" x14ac:dyDescent="0.5">
      <c r="B12" s="3" t="s">
        <v>12</v>
      </c>
      <c r="C12" s="3">
        <f>B10-D10</f>
        <v>4935</v>
      </c>
    </row>
    <row r="13" spans="1:13" ht="21" x14ac:dyDescent="0.5">
      <c r="B13" s="3"/>
      <c r="C13" s="3"/>
      <c r="G13" s="41" t="s">
        <v>52</v>
      </c>
      <c r="H13" s="41"/>
      <c r="I13" s="41"/>
    </row>
    <row r="14" spans="1:13" x14ac:dyDescent="0.35">
      <c r="G14" s="7" t="s">
        <v>26</v>
      </c>
      <c r="H14" s="7" t="s">
        <v>27</v>
      </c>
      <c r="I14" s="7" t="s">
        <v>28</v>
      </c>
      <c r="J14" s="7" t="s">
        <v>29</v>
      </c>
      <c r="K14" s="7" t="s">
        <v>30</v>
      </c>
      <c r="L14" s="7" t="s">
        <v>31</v>
      </c>
      <c r="M14" s="7" t="s">
        <v>32</v>
      </c>
    </row>
    <row r="15" spans="1:13" ht="21" x14ac:dyDescent="0.5">
      <c r="A15" s="4" t="s">
        <v>13</v>
      </c>
      <c r="G15" s="8" t="s">
        <v>33</v>
      </c>
      <c r="H15" s="8" t="s">
        <v>34</v>
      </c>
      <c r="I15" s="8">
        <v>500</v>
      </c>
      <c r="J15" s="8"/>
      <c r="K15" s="8"/>
      <c r="L15" s="8"/>
      <c r="M15" s="8">
        <f>SUM(I15:L15)</f>
        <v>500</v>
      </c>
    </row>
    <row r="16" spans="1:13" ht="18.5" x14ac:dyDescent="0.45">
      <c r="B16" s="6"/>
      <c r="G16" s="8" t="s">
        <v>33</v>
      </c>
      <c r="H16" s="8" t="s">
        <v>34</v>
      </c>
      <c r="I16" s="8">
        <v>500</v>
      </c>
      <c r="J16" s="8">
        <v>300</v>
      </c>
      <c r="K16" s="8"/>
      <c r="L16" s="8"/>
      <c r="M16" s="8">
        <f>SUM(I16:L16)</f>
        <v>800</v>
      </c>
    </row>
    <row r="17" spans="1:14" ht="18.5" x14ac:dyDescent="0.45">
      <c r="B17" s="6"/>
      <c r="C17" s="6"/>
      <c r="D17" s="6"/>
      <c r="G17" s="10" t="s">
        <v>35</v>
      </c>
      <c r="H17" s="10" t="s">
        <v>36</v>
      </c>
      <c r="I17" s="25">
        <v>500</v>
      </c>
      <c r="J17" s="10"/>
      <c r="K17" s="10"/>
      <c r="L17" s="10"/>
      <c r="M17" s="10">
        <f>SUM(I17:L17)</f>
        <v>500</v>
      </c>
    </row>
    <row r="18" spans="1:14" ht="18.5" x14ac:dyDescent="0.45">
      <c r="A18" s="5"/>
      <c r="B18" s="48"/>
      <c r="C18" s="48"/>
      <c r="D18" s="48"/>
      <c r="E18" s="48"/>
      <c r="G18" s="7" t="s">
        <v>37</v>
      </c>
      <c r="H18" s="7" t="s">
        <v>36</v>
      </c>
      <c r="I18" s="7">
        <v>500</v>
      </c>
      <c r="J18" s="10">
        <v>300</v>
      </c>
      <c r="K18" s="7">
        <v>1000</v>
      </c>
      <c r="L18" s="7"/>
      <c r="M18" s="7">
        <f>SUM(I18:L18)</f>
        <v>1800</v>
      </c>
    </row>
    <row r="19" spans="1:14" ht="18.5" x14ac:dyDescent="0.45">
      <c r="A19" s="6"/>
      <c r="B19" s="6"/>
      <c r="C19" s="6"/>
      <c r="D19" s="6"/>
      <c r="G19" s="10" t="s">
        <v>183</v>
      </c>
      <c r="H19" s="10" t="s">
        <v>49</v>
      </c>
      <c r="I19" s="10"/>
      <c r="J19" s="10"/>
      <c r="K19" s="10">
        <v>500</v>
      </c>
      <c r="L19" s="10"/>
      <c r="M19" s="10">
        <f>SUM(I19:L19)</f>
        <v>500</v>
      </c>
      <c r="N19" t="s">
        <v>185</v>
      </c>
    </row>
    <row r="20" spans="1:14" ht="18.5" x14ac:dyDescent="0.45">
      <c r="B20" s="6" t="s">
        <v>110</v>
      </c>
      <c r="G20" s="10" t="s">
        <v>178</v>
      </c>
      <c r="H20" s="10" t="s">
        <v>39</v>
      </c>
      <c r="I20" s="10"/>
      <c r="J20" s="10"/>
      <c r="K20" s="10"/>
      <c r="L20" s="10">
        <v>500</v>
      </c>
      <c r="M20" s="10">
        <v>500</v>
      </c>
      <c r="N20" t="s">
        <v>184</v>
      </c>
    </row>
    <row r="21" spans="1:14" ht="18.5" x14ac:dyDescent="0.45">
      <c r="B21" s="6"/>
      <c r="G21" s="7" t="s">
        <v>40</v>
      </c>
      <c r="H21" s="7" t="s">
        <v>41</v>
      </c>
      <c r="I21" s="7">
        <v>500</v>
      </c>
      <c r="J21" s="7"/>
      <c r="K21" s="7"/>
      <c r="L21" s="7">
        <v>1500</v>
      </c>
      <c r="M21" s="7">
        <f t="shared" ref="M21:M23" si="0">SUM(I21:L21)</f>
        <v>2000</v>
      </c>
      <c r="N21" t="s">
        <v>186</v>
      </c>
    </row>
    <row r="22" spans="1:14" ht="18.5" x14ac:dyDescent="0.45">
      <c r="B22" s="6"/>
      <c r="G22" s="8" t="s">
        <v>42</v>
      </c>
      <c r="H22" s="8" t="s">
        <v>41</v>
      </c>
      <c r="I22" s="8">
        <v>500</v>
      </c>
      <c r="J22" s="8">
        <v>300</v>
      </c>
      <c r="K22" s="8">
        <v>1000</v>
      </c>
      <c r="L22" s="8">
        <v>800</v>
      </c>
      <c r="M22" s="8">
        <f t="shared" si="0"/>
        <v>2600</v>
      </c>
    </row>
    <row r="23" spans="1:14" ht="18.5" x14ac:dyDescent="0.45">
      <c r="B23" s="6"/>
      <c r="G23" s="7" t="s">
        <v>43</v>
      </c>
      <c r="H23" s="7" t="s">
        <v>41</v>
      </c>
      <c r="I23" s="7"/>
      <c r="J23" s="7"/>
      <c r="K23" s="7"/>
      <c r="L23" s="7">
        <v>800</v>
      </c>
      <c r="M23" s="7">
        <f t="shared" si="0"/>
        <v>800</v>
      </c>
    </row>
    <row r="24" spans="1:14" ht="18.5" x14ac:dyDescent="0.45">
      <c r="B24" s="6"/>
      <c r="G24" s="7" t="s">
        <v>151</v>
      </c>
      <c r="H24" s="7" t="s">
        <v>45</v>
      </c>
      <c r="I24" s="7"/>
      <c r="J24" s="7"/>
      <c r="K24" s="7"/>
      <c r="L24" s="7">
        <v>500</v>
      </c>
      <c r="M24" s="7">
        <v>500</v>
      </c>
      <c r="N24" t="s">
        <v>184</v>
      </c>
    </row>
    <row r="25" spans="1:14" ht="18.5" x14ac:dyDescent="0.45">
      <c r="B25" s="6"/>
      <c r="G25" s="7"/>
      <c r="H25" s="7"/>
      <c r="I25" s="7"/>
      <c r="J25" s="10"/>
      <c r="K25" s="7"/>
      <c r="L25" s="7"/>
      <c r="M25" s="7"/>
    </row>
    <row r="26" spans="1:14" ht="18.5" x14ac:dyDescent="0.45">
      <c r="B26" s="6"/>
      <c r="G26" s="42" t="s">
        <v>53</v>
      </c>
      <c r="H26" s="43"/>
      <c r="I26" s="43"/>
      <c r="J26" s="43"/>
      <c r="K26" s="43"/>
      <c r="L26" s="44"/>
      <c r="M26" s="7">
        <f>SUM(M15:M25)</f>
        <v>10500</v>
      </c>
    </row>
    <row r="27" spans="1:14" ht="18.5" x14ac:dyDescent="0.45">
      <c r="A27" s="13"/>
    </row>
    <row r="28" spans="1:14" x14ac:dyDescent="0.35">
      <c r="H28" s="11"/>
      <c r="I28" t="s">
        <v>108</v>
      </c>
    </row>
    <row r="29" spans="1:14" ht="18.5" x14ac:dyDescent="0.45">
      <c r="A29" s="13"/>
    </row>
  </sheetData>
  <mergeCells count="5">
    <mergeCell ref="A1:B1"/>
    <mergeCell ref="C1:D1"/>
    <mergeCell ref="G13:I13"/>
    <mergeCell ref="B18:E18"/>
    <mergeCell ref="G26:L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شهر 8</vt:lpstr>
      <vt:lpstr>ميزانية شهر 9</vt:lpstr>
      <vt:lpstr>ميزانية شهر 10</vt:lpstr>
      <vt:lpstr>شهر 11</vt:lpstr>
      <vt:lpstr>شهر 12</vt:lpstr>
      <vt:lpstr>شهر 1-2021</vt:lpstr>
      <vt:lpstr>شهر 2-2021</vt:lpstr>
      <vt:lpstr>شهر 3-21</vt:lpstr>
      <vt:lpstr>شهر 4-21</vt:lpstr>
      <vt:lpstr>شهر 5-2021</vt:lpstr>
      <vt:lpstr>شهر 6-2021</vt:lpstr>
      <vt:lpstr>شهر 7-2021</vt:lpstr>
      <vt:lpstr>شهر 8-2021</vt:lpstr>
      <vt:lpstr>شهر 9-2021</vt:lpstr>
      <vt:lpstr>شهر 10-2021</vt:lpstr>
      <vt:lpstr>شهر 11-2021</vt:lpstr>
      <vt:lpstr>شهر 12-2021</vt:lpstr>
      <vt:lpstr>شهر 1-2022</vt:lpstr>
      <vt:lpstr>شهر 2-2022</vt:lpstr>
      <vt:lpstr>شهر 3-2022</vt:lpstr>
      <vt:lpstr>شهر 4-2022</vt:lpstr>
      <vt:lpstr>شهر 5-2022</vt:lpstr>
      <vt:lpstr>شهر 6-2022</vt:lpstr>
      <vt:lpstr>شهر 7-2022</vt:lpstr>
      <vt:lpstr>الايرادات</vt:lpstr>
      <vt:lpstr>شهر 8-2022</vt:lpstr>
      <vt:lpstr>شهر 9-2022</vt:lpstr>
      <vt:lpstr>شهر 10-2022</vt:lpstr>
      <vt:lpstr>شهر 11-2022</vt:lpstr>
      <vt:lpstr>شهر 12-2022</vt:lpstr>
      <vt:lpstr>شهر 1-2023</vt:lpstr>
      <vt:lpstr>شهر 2-2023</vt:lpstr>
      <vt:lpstr>شهر 3-2023</vt:lpstr>
      <vt:lpstr>شهر 4-2023</vt:lpstr>
      <vt:lpstr>شهر 5-2023</vt:lpstr>
      <vt:lpstr>شهر 6-2023</vt:lpstr>
      <vt:lpstr>شهر 7-2023</vt:lpstr>
      <vt:lpstr>شهر 8-2023</vt:lpstr>
      <vt:lpstr>شهر 9-2023</vt:lpstr>
      <vt:lpstr>شهر 10-2023</vt:lpstr>
      <vt:lpstr>شهر 11-2023</vt:lpstr>
      <vt:lpstr>شهر 12 -2023</vt:lpstr>
      <vt:lpstr>شهر 1 - 2024</vt:lpstr>
      <vt:lpstr>شهر 2-2024</vt:lpstr>
      <vt:lpstr>شهر 3-2024</vt:lpstr>
      <vt:lpstr>شهر 4-2024</vt:lpstr>
      <vt:lpstr>شهر 5-2024</vt:lpstr>
      <vt:lpstr>شهر 6 - 2024</vt:lpstr>
      <vt:lpstr>شهر 7 - 2024</vt:lpstr>
      <vt:lpstr>شهر 8 - 2024</vt:lpstr>
      <vt:lpstr>شهر 9 - 2024</vt:lpstr>
      <vt:lpstr>شهر 10 - 2024</vt:lpstr>
      <vt:lpstr>شهر 11- 2024</vt:lpstr>
      <vt:lpstr>شهر 12 - 2024</vt:lpstr>
      <vt:lpstr>شهر 1-2025</vt:lpstr>
      <vt:lpstr>شهر 2 - 2025</vt:lpstr>
      <vt:lpstr>شهر 3 - 2025</vt:lpstr>
      <vt:lpstr>شهر 4 - 2025</vt:lpstr>
      <vt:lpstr>شهر 5- 2025</vt:lpstr>
      <vt:lpstr>شهر 6 -2025</vt:lpstr>
      <vt:lpstr>شهر7 -2025</vt:lpstr>
      <vt:lpstr>شهر 8-2025</vt:lpstr>
      <vt:lpstr>شهر 9 -2025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</dc:creator>
  <cp:lastModifiedBy>Mohamed-elsherbeeny</cp:lastModifiedBy>
  <cp:lastPrinted>2024-04-06T16:27:51Z</cp:lastPrinted>
  <dcterms:created xsi:type="dcterms:W3CDTF">2020-10-06T16:50:46Z</dcterms:created>
  <dcterms:modified xsi:type="dcterms:W3CDTF">2025-10-08T07:16:41Z</dcterms:modified>
</cp:coreProperties>
</file>